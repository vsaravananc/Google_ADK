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 Listings" state="visible" r:id="rId4"/>
    <sheet sheetId="2" name="Brand Summary" state="visible" r:id="rId5"/>
    <sheet sheetId="3" name="Data Dictionary" state="visible" r:id="rId6"/>
    <sheet sheetId="4" name="EMI Calculator" state="visible" r:id="rId7"/>
  </sheets>
  <calcPr calcId="171027" fullCalcOnLoad="1"/>
</workbook>
</file>

<file path=xl/sharedStrings.xml><?xml version="1.0" encoding="utf-8"?>
<sst xmlns="http://schemas.openxmlformats.org/spreadsheetml/2006/main" count="5303" uniqueCount="1034">
  <si>
    <t>Listing ID</t>
  </si>
  <si>
    <t>Brand</t>
  </si>
  <si>
    <t>Car Name</t>
  </si>
  <si>
    <t>Model</t>
  </si>
  <si>
    <t>Variant</t>
  </si>
  <si>
    <t>Manufacturing Year</t>
  </si>
  <si>
    <t>Registration Year</t>
  </si>
  <si>
    <t>New or Used</t>
  </si>
  <si>
    <t>Vehicle Type</t>
  </si>
  <si>
    <t>Fuel Type</t>
  </si>
  <si>
    <t>Transmission</t>
  </si>
  <si>
    <t>Number of Owners</t>
  </si>
  <si>
    <t>Selling Price (INR)</t>
  </si>
  <si>
    <t>Original Ex-Showroom Price (INR)</t>
  </si>
  <si>
    <t>Negotiable</t>
  </si>
  <si>
    <t>Minimum Expected Price (INR)</t>
  </si>
  <si>
    <t>Down Payment (INR)</t>
  </si>
  <si>
    <t>Loan Amount (INR)</t>
  </si>
  <si>
    <t>Interest Rate (% per annum)</t>
  </si>
  <si>
    <t>EMI Tenure (Months)</t>
  </si>
  <si>
    <t>Estimated Monthly EMI (INR)</t>
  </si>
  <si>
    <t>Loan Eligible</t>
  </si>
  <si>
    <t>Engine Capacity (cc)</t>
  </si>
  <si>
    <t>Maximum Power (bhp)</t>
  </si>
  <si>
    <t>Mileage (km/l)</t>
  </si>
  <si>
    <t>Range (km per charge for EVs)</t>
  </si>
  <si>
    <t>Battery Capacity (kWh, for EVs)</t>
  </si>
  <si>
    <t>Seating Capacity</t>
  </si>
  <si>
    <t>Number of Doors</t>
  </si>
  <si>
    <t>Boot Space (litres)</t>
  </si>
  <si>
    <t>Safety Rating</t>
  </si>
  <si>
    <t>Airbags</t>
  </si>
  <si>
    <t>ABS</t>
  </si>
  <si>
    <t>Rear Camera</t>
  </si>
  <si>
    <t>Parking Sensors</t>
  </si>
  <si>
    <t>Exterior Colour</t>
  </si>
  <si>
    <t>Vehicle Condition</t>
  </si>
  <si>
    <t>Odometer Reading (km)</t>
  </si>
  <si>
    <t>Insurance Valid Until</t>
  </si>
  <si>
    <t>Registration State</t>
  </si>
  <si>
    <t>City</t>
  </si>
  <si>
    <t>Availability Status</t>
  </si>
  <si>
    <t>Listing Date</t>
  </si>
  <si>
    <t>Seller Type</t>
  </si>
  <si>
    <t>Service History Available</t>
  </si>
  <si>
    <t>Warranty Available</t>
  </si>
  <si>
    <t>Accident History Disclosed</t>
  </si>
  <si>
    <t>Key Features</t>
  </si>
  <si>
    <t>Description</t>
  </si>
  <si>
    <t>Suitable Buyer</t>
  </si>
  <si>
    <t>Estimated Annual Maintenance Cost (INR)</t>
  </si>
  <si>
    <t>Source Type</t>
  </si>
  <si>
    <t>Source URL</t>
  </si>
  <si>
    <t>CAR-1001</t>
  </si>
  <si>
    <t>Maruti Suzuki</t>
  </si>
  <si>
    <t>Maruti Suzuki Swift</t>
  </si>
  <si>
    <t>Swift</t>
  </si>
  <si>
    <t>ZXi+ 1.2L DualJet</t>
  </si>
  <si>
    <t>Used</t>
  </si>
  <si>
    <t>Hatchback</t>
  </si>
  <si>
    <t>Petrol</t>
  </si>
  <si>
    <t>Manual</t>
  </si>
  <si>
    <t>No</t>
  </si>
  <si>
    <t>Yes</t>
  </si>
  <si>
    <t>Pearl Arctic White</t>
  </si>
  <si>
    <t>Fair</t>
  </si>
  <si>
    <t>2027-01-01</t>
  </si>
  <si>
    <t>Tamil Nadu</t>
  </si>
  <si>
    <t>Chennai</t>
  </si>
  <si>
    <t>Available</t>
  </si>
  <si>
    <t>2026-10-01</t>
  </si>
  <si>
    <t>Individual</t>
  </si>
  <si>
    <t>Unknown</t>
  </si>
  <si>
    <t>SmartPlay Pro+ 9-inch Touchscreen, Cruise Control, LED Projector Headlamps, Auto AC</t>
  </si>
  <si>
    <t>Well-maintained 2018 fair condition Maruti Suzuki Swift ZXi+ 1.2L DualJet (Manual) in Chennai. Powered by a 1197 cc petrol engine delivering 22.38 km/l. Inspected for mechanical reliability.</t>
  </si>
  <si>
    <t>Daily Commuter</t>
  </si>
  <si>
    <t>Synthetic Sample</t>
  </si>
  <si>
    <t>CAR-1002</t>
  </si>
  <si>
    <t>Maruti Suzuki Baleno</t>
  </si>
  <si>
    <t>Baleno</t>
  </si>
  <si>
    <t>Alpha 1.2L AGS</t>
  </si>
  <si>
    <t>AMT</t>
  </si>
  <si>
    <t>4 Star (Bharat NCAP)</t>
  </si>
  <si>
    <t>Titan Grey</t>
  </si>
  <si>
    <t>Like New</t>
  </si>
  <si>
    <t>2026-12-06</t>
  </si>
  <si>
    <t>Karnataka</t>
  </si>
  <si>
    <t>Bengaluru</t>
  </si>
  <si>
    <t>2026-09-04</t>
  </si>
  <si>
    <t>Dealer</t>
  </si>
  <si>
    <t>Head-Up Display, 360 View Camera, 9-inch SmartPlay Pro+, UV Cut Glass</t>
  </si>
  <si>
    <t>Well-maintained 2025 like new condition Maruti Suzuki Baleno Alpha 1.2L AGS (AMT) in Bengaluru. Powered by a 1197 cc petrol engine delivering 22.94 km/l. Complete service history available.</t>
  </si>
  <si>
    <t>Family</t>
  </si>
  <si>
    <t>CAR-1003</t>
  </si>
  <si>
    <t>Maruti Suzuki Brezza</t>
  </si>
  <si>
    <t>Brezza</t>
  </si>
  <si>
    <t>ZXi+ 1.5L Smart Hybrid AT</t>
  </si>
  <si>
    <t>SUV</t>
  </si>
  <si>
    <t>Automatic</t>
  </si>
  <si>
    <t>4 Star (Global NCAP)</t>
  </si>
  <si>
    <t>Abyss Black</t>
  </si>
  <si>
    <t>Excellent</t>
  </si>
  <si>
    <t>2027-03-11</t>
  </si>
  <si>
    <t>Telangana</t>
  </si>
  <si>
    <t>Hyderabad</t>
  </si>
  <si>
    <t>2026-10-07</t>
  </si>
  <si>
    <t>Electric Sunroof, Paddle Shifters, 360 Degree Camera, Wireless Charging</t>
  </si>
  <si>
    <t>Well-maintained 2020 excellent condition Maruti Suzuki Brezza ZXi+ 1.5L Smart Hybrid AT (Automatic) in Hyderabad. Powered by a 1462 cc petrol engine delivering 19.8 km/l. Complete service history available.</t>
  </si>
  <si>
    <t>CAR-1004</t>
  </si>
  <si>
    <t>Maruti Suzuki Wagon R</t>
  </si>
  <si>
    <t>Wagon R</t>
  </si>
  <si>
    <t>VXi 1.0L S-CNG</t>
  </si>
  <si>
    <t>CNG</t>
  </si>
  <si>
    <t>Starry Night Blue</t>
  </si>
  <si>
    <t>2026-12-16</t>
  </si>
  <si>
    <t>Maharashtra</t>
  </si>
  <si>
    <t>Mumbai</t>
  </si>
  <si>
    <t>2026-09-10</t>
  </si>
  <si>
    <t>Factory Fitted S-CNG Dual Interdependent ECUs, Keyless Entry, Power Windows</t>
  </si>
  <si>
    <t>Well-maintained 2015 fair condition Maruti Suzuki Wagon R VXi 1.0L S-CNG (Manual) in Mumbai. Powered by a 998 cc cng engine delivering 33.47 km/l. Complete service history available.</t>
  </si>
  <si>
    <t>First-Time Buyer</t>
  </si>
  <si>
    <t>CAR-1005</t>
  </si>
  <si>
    <t>Maruti Suzuki Ertiga</t>
  </si>
  <si>
    <t>Ertiga</t>
  </si>
  <si>
    <t>ZXi 1.5L S-CNG</t>
  </si>
  <si>
    <t>MUV</t>
  </si>
  <si>
    <t>2027-05-21</t>
  </si>
  <si>
    <t>Delhi</t>
  </si>
  <si>
    <t>Reserved</t>
  </si>
  <si>
    <t>2026-10-13</t>
  </si>
  <si>
    <t>7-Seater Reclining Rows, Roof Mounted AC Vents, 7-inch SmartPlay Studio</t>
  </si>
  <si>
    <t>Well-maintained 2022 excellent condition Maruti Suzuki Ertiga ZXi 1.5L S-CNG (Manual) in Delhi. Powered by a 1462 cc cng engine delivering 26.11 km/l. Complete service history available.</t>
  </si>
  <si>
    <t>CAR-1006</t>
  </si>
  <si>
    <t>Maruti Suzuki Grand Vitara</t>
  </si>
  <si>
    <t>Grand Vitara</t>
  </si>
  <si>
    <t>Alpha+ 1.5L Intelligent Electric Hybrid</t>
  </si>
  <si>
    <t>Hybrid</t>
  </si>
  <si>
    <t>CVT</t>
  </si>
  <si>
    <t>5 Star (Bharat NCAP)</t>
  </si>
  <si>
    <t>2026-12-26</t>
  </si>
  <si>
    <t>Pune</t>
  </si>
  <si>
    <t>Sold</t>
  </si>
  <si>
    <t>2026-09-16</t>
  </si>
  <si>
    <t>Panoramic Sunroof, Ventilated Front Seats, Strong Hybrid e-CVT, TPMS</t>
  </si>
  <si>
    <t>Well-maintained 2024 like new condition Maruti Suzuki Grand Vitara Alpha+ 1.5L Intelligent Electric Hybrid (CVT) in Pune. Powered by a 1490 cc hybrid engine delivering 27.97 km/l. Complete service history available.</t>
  </si>
  <si>
    <t>CAR-1007</t>
  </si>
  <si>
    <t>Maruti Suzuki Dzire</t>
  </si>
  <si>
    <t>Dzire</t>
  </si>
  <si>
    <t>ZXi+ 1.2L AGS</t>
  </si>
  <si>
    <t>Sedan</t>
  </si>
  <si>
    <t>5 Star (Global NCAP)</t>
  </si>
  <si>
    <t>2027-07-04</t>
  </si>
  <si>
    <t>Coimbatore</t>
  </si>
  <si>
    <t>2026-10-19</t>
  </si>
  <si>
    <t>Electric Sunroof, 360 HD View Camera, Wireless Android Auto &amp; CarPlay</t>
  </si>
  <si>
    <t>Well-maintained 2024 like new condition Maruti Suzuki Dzire ZXi+ 1.2L AGS (AMT) in Coimbatore. Powered by a 1197 cc petrol engine delivering 25.71 km/l. Complete service history available.</t>
  </si>
  <si>
    <t>CAR-1008</t>
  </si>
  <si>
    <t>Hyundai</t>
  </si>
  <si>
    <t>Hyundai Creta</t>
  </si>
  <si>
    <t>Creta</t>
  </si>
  <si>
    <t>SX (O) 1.5L Turbo GDi DCT</t>
  </si>
  <si>
    <t>DCT</t>
  </si>
  <si>
    <t>Good</t>
  </si>
  <si>
    <t>2026-12-09</t>
  </si>
  <si>
    <t>Kerala</t>
  </si>
  <si>
    <t>Kochi</t>
  </si>
  <si>
    <t>2026-09-22</t>
  </si>
  <si>
    <t>Level 2 ADAS, Bose 8-Speaker Audio, Panoramic Sunroof, Dual 10.25-inch Displays</t>
  </si>
  <si>
    <t>Well-maintained 2019 good condition Hyundai Creta SX (O) 1.5L Turbo GDi DCT (DCT) in Kochi. Powered by a 1482 cc petrol engine delivering 18.4 km/l. Inspected for mechanical reliability.</t>
  </si>
  <si>
    <t>CAR-1009</t>
  </si>
  <si>
    <t>SX Tech 1.5L CRDi AT</t>
  </si>
  <si>
    <t>New</t>
  </si>
  <si>
    <t>Diesel</t>
  </si>
  <si>
    <t>2029-09-14</t>
  </si>
  <si>
    <t>Gujarat</t>
  </si>
  <si>
    <t>Ahmedabad</t>
  </si>
  <si>
    <t>2026-10-03</t>
  </si>
  <si>
    <t>Panoramic Sunroof, Voice Enabled Smart Controls, Bose Sound, Bluelink Connected Car</t>
  </si>
  <si>
    <t>Brand-new 2026 showroom condition Hyundai Creta SX Tech 1.5L CRDi AT (Automatic) in Ahmedabad. Powered by a 1493 cc diesel engine delivering 19.1 km/l. Complete service history available.</t>
  </si>
  <si>
    <t>CAR-1010</t>
  </si>
  <si>
    <t>Hyundai i20</t>
  </si>
  <si>
    <t>i20</t>
  </si>
  <si>
    <t>Asta (O) 1.2L Kappa IVT</t>
  </si>
  <si>
    <t>3 Star (Global NCAP)</t>
  </si>
  <si>
    <t>2026-12-19</t>
  </si>
  <si>
    <t>West Bengal</t>
  </si>
  <si>
    <t>Kolkata</t>
  </si>
  <si>
    <t>2026-09-06</t>
  </si>
  <si>
    <t>Electric Sunroof, Bose 7-Speaker System, 10.25-inch HD Infotainment, Ambient Lighting</t>
  </si>
  <si>
    <t>Well-maintained 2021 excellent condition Hyundai i20 Asta (O) 1.2L Kappa IVT (CVT) in Kolkata. Powered by a 1197 cc petrol engine delivering 19.65 km/l. Complete service history available.</t>
  </si>
  <si>
    <t>CAR-1011</t>
  </si>
  <si>
    <t>Hyundai Verna</t>
  </si>
  <si>
    <t>Verna</t>
  </si>
  <si>
    <t>2027-11-24</t>
  </si>
  <si>
    <t>2026-10-09</t>
  </si>
  <si>
    <t>Hyundai SmartSense Level 2 ADAS, Heated &amp; Ventilated Front Seats, Horizon LED Lamp</t>
  </si>
  <si>
    <t>Well-maintained 2016 good condition Hyundai Verna SX (O) 1.5L Turbo GDi DCT (DCT) in Chennai. Powered by a 1482 cc petrol engine delivering 20.6 km/l. Complete service history available.</t>
  </si>
  <si>
    <t>Enthusiast</t>
  </si>
  <si>
    <t>CAR-1012</t>
  </si>
  <si>
    <t>Hyundai Venue</t>
  </si>
  <si>
    <t>Venue</t>
  </si>
  <si>
    <t>SX (O) 1.0L Turbo DCT</t>
  </si>
  <si>
    <t>2026-12-02</t>
  </si>
  <si>
    <t>2026-09-12</t>
  </si>
  <si>
    <t>Smart Electric Sunroof, 4-Way Power Driver Seat, Air Purifier, Dashcam</t>
  </si>
  <si>
    <t>Well-maintained 2023 excellent condition Hyundai Venue SX (O) 1.0L Turbo DCT (DCT) in Bengaluru. Powered by a 998 cc petrol engine delivering 18.31 km/l. Complete service history available.</t>
  </si>
  <si>
    <t>CAR-1013</t>
  </si>
  <si>
    <t>Hyundai Ioniq 5</t>
  </si>
  <si>
    <t>Ioniq 5</t>
  </si>
  <si>
    <t>RWD 72.6 kWh Long Range</t>
  </si>
  <si>
    <t>Electric</t>
  </si>
  <si>
    <t>5 Star (Euro NCAP)</t>
  </si>
  <si>
    <t>2027-01-07</t>
  </si>
  <si>
    <t>2026-10-15</t>
  </si>
  <si>
    <t>800V Ultra-Fast Charging, Vehicle-to-Load (V2L), Parametric Pixel LED, Level 2 ADAS</t>
  </si>
  <si>
    <t>Well-maintained 2023 like new condition Hyundai Ioniq 5 RWD 72.6 kWh Long Range (Automatic) in Hyderabad. Powered by a 72.6 kWh battery delivering 631 km certified range. Complete service history available.</t>
  </si>
  <si>
    <t>CAR-1014</t>
  </si>
  <si>
    <t>Hyundai Grand i10 Nios</t>
  </si>
  <si>
    <t>Grand i10 Nios</t>
  </si>
  <si>
    <t>Sportz 1.2L Hy-CNG Duo</t>
  </si>
  <si>
    <t>2026-12-12</t>
  </si>
  <si>
    <t>2026-09-18</t>
  </si>
  <si>
    <t>Dual Cylinder CNG with Usable Boot, 8-inch Touchscreen, Rear AC Vents</t>
  </si>
  <si>
    <t>Well-maintained 2025 like new condition Hyundai Grand i10 Nios Sportz 1.2L Hy-CNG Duo (Manual) in Mumbai. Powered by a 1197 cc cng engine delivering 27.3 km/l. Complete service history available.</t>
  </si>
  <si>
    <t>CAR-1015</t>
  </si>
  <si>
    <t>Tata</t>
  </si>
  <si>
    <t>Tata Nexon</t>
  </si>
  <si>
    <t>Nexon</t>
  </si>
  <si>
    <t>Fearless+ S 1.2L Turbo DCA</t>
  </si>
  <si>
    <t>5 Star (Global &amp; Bharat NCAP)</t>
  </si>
  <si>
    <t>2027-03-17</t>
  </si>
  <si>
    <t>2026-10-21</t>
  </si>
  <si>
    <t>10.25-inch Harman Floating Infotainment, 360 Surround View, Ventilated Seats, JBL Audio</t>
  </si>
  <si>
    <t>Well-maintained 2020 excellent condition Tata Nexon Fearless+ S 1.2L Turbo DCA (DCT) in Delhi. Powered by a 1199 cc petrol engine delivering 17.01 km/l. Inspected for mechanical reliability.</t>
  </si>
  <si>
    <t>CAR-1016</t>
  </si>
  <si>
    <t>Tata Nexon.ev</t>
  </si>
  <si>
    <t>Nexon.ev</t>
  </si>
  <si>
    <t>Empowered+ 45 kWh Long Range</t>
  </si>
  <si>
    <t>2026-12-22</t>
  </si>
  <si>
    <t>2026-09-02</t>
  </si>
  <si>
    <t>Panoramic Sunroof, V2V &amp; V2L Charging, 12.3-inch Cinematic Screen, Arcade.ev App Suite</t>
  </si>
  <si>
    <t>Well-maintained 2024 like new condition Tata Nexon.ev Empowered+ 45 kWh Long Range (Automatic) in Pune. Powered by a 45 kWh battery delivering 489 km certified range. Complete service history available.</t>
  </si>
  <si>
    <t>CAR-1017</t>
  </si>
  <si>
    <t>Tata Punch</t>
  </si>
  <si>
    <t>Punch</t>
  </si>
  <si>
    <t>Accomplished+ S iCNG</t>
  </si>
  <si>
    <t>2027-05-27</t>
  </si>
  <si>
    <t>2026-10-05</t>
  </si>
  <si>
    <t>Twin-Cylinder iCNG Technology, Voice Assisted Electric Sunroof, 7-inch Harman Screen</t>
  </si>
  <si>
    <t>Well-maintained 2022 excellent condition Tata Punch Accomplished+ S iCNG (Manual) in Coimbatore. Powered by a 1199 cc cng engine delivering 26.99 km/l. Complete service history available.</t>
  </si>
  <si>
    <t>CAR-1018</t>
  </si>
  <si>
    <t>Tata Punch.ev</t>
  </si>
  <si>
    <t>Punch.ev</t>
  </si>
  <si>
    <t>Empowered+ S 35 kWh Long Range</t>
  </si>
  <si>
    <t>2026-12-05</t>
  </si>
  <si>
    <t>2026-09-08</t>
  </si>
  <si>
    <t>acti.ev Pure EV Architecture, Frunk Storage, 360 Camera, Electronic Parking Brake</t>
  </si>
  <si>
    <t>Well-maintained 2024 like new condition Tata Punch.ev Empowered+ S 35 kWh Long Range (Automatic) in Kochi. Powered by a 35 kWh battery delivering 421 km certified range. Complete service history available.</t>
  </si>
  <si>
    <t>CAR-1019</t>
  </si>
  <si>
    <t>Tata Harrier</t>
  </si>
  <si>
    <t>Harrier</t>
  </si>
  <si>
    <t>Fearless+ Dark 2.0L Kryotec AT</t>
  </si>
  <si>
    <t>2027-07-10</t>
  </si>
  <si>
    <t>2026-10-11</t>
  </si>
  <si>
    <t>ADAS Level 2, Gesture Controlled Powered Tailgate, Dual-Zone Climate Control, Panoramic Sunroof</t>
  </si>
  <si>
    <t>Well-maintained 2024 like new condition Tata Harrier Fearless+ Dark 2.0L Kryotec AT (Automatic) in Ahmedabad. Powered by a 1956 cc diesel engine delivering 16.8 km/l. Complete service history available.</t>
  </si>
  <si>
    <t>CAR-1020</t>
  </si>
  <si>
    <t>Tata Safari</t>
  </si>
  <si>
    <t>Safari</t>
  </si>
  <si>
    <t>Accomplished+ 2.0L Kryotec AT 6S</t>
  </si>
  <si>
    <t>2026-12-15</t>
  </si>
  <si>
    <t>2026-09-14</t>
  </si>
  <si>
    <t>2nd Row Ventilated Captain Seats, Boss Mode, 10-Speaker JBL Dolby Atmos, Panoramic Sunroof</t>
  </si>
  <si>
    <t>Well-maintained 2019 fair condition Tata Safari Accomplished+ 2.0L Kryotec AT 6S (Automatic) in Kolkata. Powered by a 1956 cc diesel engine delivering 16.3 km/l. Complete service history available.</t>
  </si>
  <si>
    <t>CAR-1021</t>
  </si>
  <si>
    <t>Tata Curvv.ev</t>
  </si>
  <si>
    <t>Curvv.ev</t>
  </si>
  <si>
    <t>Empowered+ A 55 kWh</t>
  </si>
  <si>
    <t>Coupe</t>
  </si>
  <si>
    <t>2027-09-20</t>
  </si>
  <si>
    <t>2026-10-17</t>
  </si>
  <si>
    <t>SUV Coupe Design, Level 2 ADAS (20 Features), Acoustic Vehicle Alert System, Powered Tailgate</t>
  </si>
  <si>
    <t>Well-maintained 2023 like new condition Tata Curvv.ev Empowered+ A 55 kWh (Automatic) in Chennai. Powered by a 55 kWh battery delivering 585 km certified range. Complete service history available.</t>
  </si>
  <si>
    <t>CAR-1022</t>
  </si>
  <si>
    <t>Mahindra</t>
  </si>
  <si>
    <t>Mahindra XUV700</t>
  </si>
  <si>
    <t>XUV700</t>
  </si>
  <si>
    <t>AX7 Luxury Pack 2.2L mHawk AT AWD</t>
  </si>
  <si>
    <t>2026-12-25</t>
  </si>
  <si>
    <t>2026-09-20</t>
  </si>
  <si>
    <t>Skyroof Panoramic Sunroof, Adrenox Dual 10.25-inch Screens, Sony 12-Speaker 3D Audio, ADAS</t>
  </si>
  <si>
    <t>Well-maintained 2021 excellent condition Mahindra XUV700 AX7 Luxury Pack 2.2L mHawk AT AWD (Automatic) in Bengaluru. Powered by a 2198 cc diesel engine delivering 15.5 km/l. Inspected for mechanical reliability.</t>
  </si>
  <si>
    <t>CAR-1023</t>
  </si>
  <si>
    <t>Mahindra Scorpio-N</t>
  </si>
  <si>
    <t>Scorpio-N</t>
  </si>
  <si>
    <t>Z8L 2.2L mHawk 4XPLOR AT</t>
  </si>
  <si>
    <t>2027-11-03</t>
  </si>
  <si>
    <t>4XPLOR Terrain Management, Body-on-Frame 4WD, Sony 3D Audio, Ventilated Seats</t>
  </si>
  <si>
    <t>Well-maintained 2016 fair condition Mahindra Scorpio-N Z8L 2.2L mHawk 4XPLOR AT (Automatic) in Hyderabad. Powered by a 2198 cc diesel engine delivering 15.4 km/l. Complete service history available.</t>
  </si>
  <si>
    <t>CAR-1024</t>
  </si>
  <si>
    <t>Mahindra Thar ROXX</t>
  </si>
  <si>
    <t>Thar ROXX</t>
  </si>
  <si>
    <t>AX7L 2.2L mHawk 4WD AT</t>
  </si>
  <si>
    <t>2029-12-08</t>
  </si>
  <si>
    <t>5-Door Off-Roader, CrawlSmart, IntelliTurn, Panoramic Skyroof, Harman Kardon 9-Speaker Audio</t>
  </si>
  <si>
    <t>Brand-new 2026 showroom condition Mahindra Thar ROXX AX7L 2.2L mHawk 4WD AT (Automatic) in Mumbai. Powered by a 2184 cc diesel engine delivering 15.2 km/l. Complete service history available.</t>
  </si>
  <si>
    <t>CAR-1025</t>
  </si>
  <si>
    <t>Mahindra XUV 3XO</t>
  </si>
  <si>
    <t>XUV 3XO</t>
  </si>
  <si>
    <t>AX7L 1.2L TGDi AT</t>
  </si>
  <si>
    <t>2027-01-13</t>
  </si>
  <si>
    <t>Segment-First Skyroof, Level 2 ADAS, Harman Kardon Audio with Amplifier, Dual-Zone AC</t>
  </si>
  <si>
    <t>Well-maintained 2023 like new condition Mahindra XUV 3XO AX7L 1.2L TGDi AT (Automatic) in Delhi. Powered by a 1197 cc petrol engine delivering 18.2 km/l. Complete service history available.</t>
  </si>
  <si>
    <t>CAR-1026</t>
  </si>
  <si>
    <t>Mahindra BE 6</t>
  </si>
  <si>
    <t>BE 6</t>
  </si>
  <si>
    <t>Pack Three 79 kWh</t>
  </si>
  <si>
    <t>2026-12-18</t>
  </si>
  <si>
    <t>INGLO Born Electric Platform, Infinity Roof, 16-Speaker Harman Kardon Dolby Atmos, AR HUD</t>
  </si>
  <si>
    <t>Well-maintained 2024 like new condition Mahindra BE 6 Pack Three 79 kWh (Automatic) in Pune. Powered by a 79 kWh battery delivering 682 km certified range. Complete service history available.</t>
  </si>
  <si>
    <t>CAR-1027</t>
  </si>
  <si>
    <t>Honda</t>
  </si>
  <si>
    <t>Honda City</t>
  </si>
  <si>
    <t>ZX 1.5L i-VTEC CVT</t>
  </si>
  <si>
    <t>5 Star (ASEAN NCAP)</t>
  </si>
  <si>
    <t>2027-03-23</t>
  </si>
  <si>
    <t>Honda Sensing ADAS, LaneWatch Camera, Electric Sunroof, Walk Away Auto Lock</t>
  </si>
  <si>
    <t>Well-maintained 2020 excellent condition Honda City ZX 1.5L i-VTEC CVT (CVT) in Coimbatore. Powered by a 1498 cc petrol engine delivering 18.4 km/l. Complete service history available.</t>
  </si>
  <si>
    <t>CAR-1028</t>
  </si>
  <si>
    <t>Honda City e:HEV</t>
  </si>
  <si>
    <t>City e:HEV</t>
  </si>
  <si>
    <t>ZX 1.5L Atkinson e-CVT</t>
  </si>
  <si>
    <t>2026-12-01</t>
  </si>
  <si>
    <t>Self-Charging Strong Two-Motor Hybrid, Honda Sensing ADAS, Electronic Parking Brake</t>
  </si>
  <si>
    <t>Well-maintained 2015 fair condition Honda City e:HEV ZX 1.5L Atkinson e-CVT (CVT) in Kochi. Powered by a 1498 cc hybrid engine delivering 27.13 km/l. Complete service history available.</t>
  </si>
  <si>
    <t>Business</t>
  </si>
  <si>
    <t>CAR-1029</t>
  </si>
  <si>
    <t>Honda Elevate</t>
  </si>
  <si>
    <t>Elevate</t>
  </si>
  <si>
    <t>2027-05-06</t>
  </si>
  <si>
    <t>220mm Ground Clearance, Honda Sensing ADAS, 10.25-inch IPS HD Touchscreen, Sunroof</t>
  </si>
  <si>
    <t>Well-maintained 2023 like new condition Honda Elevate ZX 1.5L i-VTEC CVT (CVT) in Ahmedabad. Powered by a 1498 cc petrol engine delivering 16.92 km/l. Inspected for mechanical reliability.</t>
  </si>
  <si>
    <t>CAR-1030</t>
  </si>
  <si>
    <t>Honda Amaze</t>
  </si>
  <si>
    <t>Amaze</t>
  </si>
  <si>
    <t>ZX 1.2L i-VTEC CVT</t>
  </si>
  <si>
    <t>2026-12-11</t>
  </si>
  <si>
    <t>Honda Sensing ADAS, LaneWatch Camera, Wireless Charger, Paddle Shifters</t>
  </si>
  <si>
    <t>Well-maintained 2017 good condition Honda Amaze ZX 1.2L i-VTEC CVT (CVT) in Kolkata. Powered by a 1199 cc petrol engine delivering 19.46 km/l. Complete service history available.</t>
  </si>
  <si>
    <t>CAR-1031</t>
  </si>
  <si>
    <t>Toyota</t>
  </si>
  <si>
    <t>Toyota Innova Hycross</t>
  </si>
  <si>
    <t>Innova Hycross</t>
  </si>
  <si>
    <t>ZX (O) 2.0L Strong Hybrid e-Drive</t>
  </si>
  <si>
    <t>2027-07-16</t>
  </si>
  <si>
    <t>Powered Ottoman 2nd Row Seats, Toyota Safety Sense ADAS, Panoramic Sunroof, JBL Audio</t>
  </si>
  <si>
    <t>Well-maintained 2025 like new condition Toyota Innova Hycross ZX (O) 2.0L Strong Hybrid e-Drive (CVT) in Chennai. Powered by a 1987 cc hybrid engine delivering 23.24 km/l. Complete service history available.</t>
  </si>
  <si>
    <t>CAR-1032</t>
  </si>
  <si>
    <t>Toyota Fortuner</t>
  </si>
  <si>
    <t>Fortuner</t>
  </si>
  <si>
    <t>Legender 2.8L 4x4 AT</t>
  </si>
  <si>
    <t>2026-12-21</t>
  </si>
  <si>
    <t>Quad-LED Headlamps, Active Traction Control (A-TRC), Kick-Sensor Powered Tailgate, JBL 11-Speaker</t>
  </si>
  <si>
    <t>Well-maintained 2019 fair condition Toyota Fortuner Legender 2.8L 4x4 AT (Automatic) in Bengaluru. Powered by a 2755 cc diesel engine delivering 14.2 km/l. Complete service history available.</t>
  </si>
  <si>
    <t>CAR-1033</t>
  </si>
  <si>
    <t>Toyota Urban Cruiser Hyryder</t>
  </si>
  <si>
    <t>Urban Cruiser Hyryder</t>
  </si>
  <si>
    <t>V 1.5L e-Drive Hybrid</t>
  </si>
  <si>
    <t>2027-09-26</t>
  </si>
  <si>
    <t>Self-Charging Strong Hybrid, Panoramic Sunroof, Head-Up Display, Ventilated Leather Seats</t>
  </si>
  <si>
    <t>Well-maintained 2023 like new condition Toyota Urban Cruiser Hyryder V 1.5L e-Drive Hybrid (CVT) in Hyderabad. Powered by a 1490 cc hybrid engine delivering 27.97 km/l. Complete service history available.</t>
  </si>
  <si>
    <t>CAR-1034</t>
  </si>
  <si>
    <t>Toyota Glanza</t>
  </si>
  <si>
    <t>Glanza</t>
  </si>
  <si>
    <t>V 1.2L DualJet AMT</t>
  </si>
  <si>
    <t>2026-12-04</t>
  </si>
  <si>
    <t>360 Degree Camera, HUD, 9-inch Smart Playcast, Toyota i-Connect</t>
  </si>
  <si>
    <t>Well-maintained 2021 excellent condition Toyota Glanza V 1.2L DualJet AMT (AMT) in Mumbai. Powered by a 1197 cc petrol engine delivering 22.94 km/l. Complete service history available.</t>
  </si>
  <si>
    <t>CAR-1035</t>
  </si>
  <si>
    <t>Kia</t>
  </si>
  <si>
    <t>Kia Seltos</t>
  </si>
  <si>
    <t>Seltos</t>
  </si>
  <si>
    <t>GTX+ 1.5L Turbo GDi DCT</t>
  </si>
  <si>
    <t>2027-11-09</t>
  </si>
  <si>
    <t>ADAS Level 2 (19 Autonomous Features), Dual Pane Panoramic Sunroof, Bose 8-Speaker Audio</t>
  </si>
  <si>
    <t>Well-maintained 2016 fair condition Kia Seltos GTX+ 1.5L Turbo GDi DCT (DCT) in Delhi. Powered by a 1482 cc petrol engine delivering 17.9 km/l. Complete service history available.</t>
  </si>
  <si>
    <t>CAR-1036</t>
  </si>
  <si>
    <t>Kia Sonet</t>
  </si>
  <si>
    <t>Sonet</t>
  </si>
  <si>
    <t>GTX+ 1.5L CRDi AT</t>
  </si>
  <si>
    <t>2026-12-14</t>
  </si>
  <si>
    <t>Level 1 ADAS, 360 Surround View Monitor, Ventilated Front Seats, Bose 7-Speaker System</t>
  </si>
  <si>
    <t>Well-maintained 2023 excellent condition Kia Sonet GTX+ 1.5L CRDi AT (Automatic) in Pune. Powered by a 1493 cc diesel engine delivering 18.6 km/l. Inspected for mechanical reliability.</t>
  </si>
  <si>
    <t>CAR-1037</t>
  </si>
  <si>
    <t>Kia Carens</t>
  </si>
  <si>
    <t>Carens</t>
  </si>
  <si>
    <t>Luxury Plus 1.5L Turbo DCT 7S</t>
  </si>
  <si>
    <t>2027-01-19</t>
  </si>
  <si>
    <t>One-Touch Easy Electric Tumble 2nd Row, SkyLight Sunroof, Ventilated Front Seats, 64-Colour Ambient Light</t>
  </si>
  <si>
    <t>Well-maintained 2018 fair condition Kia Carens Luxury Plus 1.5L Turbo DCT 7S (DCT) in Coimbatore. Powered by a 1482 cc petrol engine delivering 16.8 km/l. Complete service history available.</t>
  </si>
  <si>
    <t>CAR-1038</t>
  </si>
  <si>
    <t>Kia EV6</t>
  </si>
  <si>
    <t>EV6</t>
  </si>
  <si>
    <t>GT Line AWD 77.4 kWh</t>
  </si>
  <si>
    <t>2026-12-24</t>
  </si>
  <si>
    <t>Dual Motor All-Wheel Drive, 0-100 km/h in 5.2s, AR Head-Up Display, Meridian 14-Speaker Audio</t>
  </si>
  <si>
    <t>Well-maintained 2024 like new condition Kia EV6 GT Line AWD 77.4 kWh (Automatic) in Kochi. Powered by a 77.4 kWh battery delivering 708 km certified range. Complete service history available.</t>
  </si>
  <si>
    <t>CAR-1039</t>
  </si>
  <si>
    <t>Renault</t>
  </si>
  <si>
    <t>Renault Kiger</t>
  </si>
  <si>
    <t>Kiger</t>
  </si>
  <si>
    <t>RXZ 1.0L Turbo X-Tronic CVT</t>
  </si>
  <si>
    <t>2027-03-02</t>
  </si>
  <si>
    <t>Multi-Sense Drive Modes, 3D Arkamys Sound System, Wireless Smartphone Replication, PM2.5 Filter</t>
  </si>
  <si>
    <t>Well-maintained 2020 good condition Renault Kiger RXZ 1.0L Turbo X-Tronic CVT (CVT) in Ahmedabad. Powered by a 999 cc petrol engine delivering 18.24 km/l. Complete service history available.</t>
  </si>
  <si>
    <t>CAR-1040</t>
  </si>
  <si>
    <t>Renault Triber</t>
  </si>
  <si>
    <t>Triber</t>
  </si>
  <si>
    <t>RXZ 1.0L Easy-R AMT</t>
  </si>
  <si>
    <t>2026-12-07</t>
  </si>
  <si>
    <t>Modular EasyFix 7-Seater (625L Boot in 5-Seater Mode), Twin AC with Vents on All Rows</t>
  </si>
  <si>
    <t>Well-maintained 2015 good condition Renault Triber RXZ 1.0L Easy-R AMT (AMT) in Kolkata. Powered by a 999 cc petrol engine delivering 18.2 km/l. Complete service history available.</t>
  </si>
  <si>
    <t>CAR-1041</t>
  </si>
  <si>
    <t>Renault Kwid</t>
  </si>
  <si>
    <t>Kwid</t>
  </si>
  <si>
    <t>Climber 1.0L Easy-R AMT</t>
  </si>
  <si>
    <t>2027-05-12</t>
  </si>
  <si>
    <t>8-inch MediaNAV Evolution Touchscreen, LED DRLs, Dual-Tone Climber Styling, ESP &amp; Hill Start</t>
  </si>
  <si>
    <t>Well-maintained 2022 excellent condition Renault Kwid Climber 1.0L Easy-R AMT (AMT) in Chennai. Powered by a 999 cc petrol engine delivering 22.3 km/l. Complete service history available.</t>
  </si>
  <si>
    <t>CAR-1042</t>
  </si>
  <si>
    <t>Volkswagen</t>
  </si>
  <si>
    <t>Volkswagen Virtus</t>
  </si>
  <si>
    <t>Virtus</t>
  </si>
  <si>
    <t>GT Plus 1.5L TSI EVO DSG</t>
  </si>
  <si>
    <t>2026-12-17</t>
  </si>
  <si>
    <t>Active Cylinder Technology (ACT), 7-Speed DSG, Electric Front Seats, Red GT Calipers</t>
  </si>
  <si>
    <t>Well-maintained 2017 good condition Volkswagen Virtus GT Plus 1.5L TSI EVO DSG (DCT) in Bengaluru. Powered by a 1498 cc petrol engine delivering 19.62 km/l. Complete service history available.</t>
  </si>
  <si>
    <t>CAR-1043</t>
  </si>
  <si>
    <t>Volkswagen Taigun</t>
  </si>
  <si>
    <t>Taigun</t>
  </si>
  <si>
    <t>GT Plus Chrome 1.5L TSI DSG</t>
  </si>
  <si>
    <t>2027-07-22</t>
  </si>
  <si>
    <t>1.5L TSI EVO with Cylinder Deactivation, Ventilated Leather Seats, Infinity LED Tail Lamps</t>
  </si>
  <si>
    <t>Well-maintained 2024 like new condition Volkswagen Taigun GT Plus Chrome 1.5L TSI DSG (DCT) in Hyderabad. Powered by a 1498 cc petrol engine delivering 19.01 km/l. Inspected for mechanical reliability.</t>
  </si>
  <si>
    <t>CAR-1044</t>
  </si>
  <si>
    <t>Skoda</t>
  </si>
  <si>
    <t>Skoda Slavia</t>
  </si>
  <si>
    <t>Slavia</t>
  </si>
  <si>
    <t>Prestige 1.5L TSI DSG</t>
  </si>
  <si>
    <t>2026-12-27</t>
  </si>
  <si>
    <t>10-inch Skoda Play Infotainment, Subwoofer in Boot, Electric Sunroof, Ventilated Powered Seats</t>
  </si>
  <si>
    <t>Well-maintained 2019 good condition Skoda Slavia Prestige 1.5L TSI DSG (DCT) in Mumbai. Powered by a 1498 cc petrol engine delivering 19.36 km/l. Complete service history available.</t>
  </si>
  <si>
    <t>CAR-1045</t>
  </si>
  <si>
    <t>Skoda Kushaq</t>
  </si>
  <si>
    <t>Kushaq</t>
  </si>
  <si>
    <t>Monte Carlo 1.5L TSI DSG</t>
  </si>
  <si>
    <t>2029-09-05</t>
  </si>
  <si>
    <t>Monte Carlo Ruby Red &amp; Black Cockpit, Virtual Cockpit, Simply Clever Umbrella Holder</t>
  </si>
  <si>
    <t>Brand-new 2026 showroom condition Skoda Kushaq Monte Carlo 1.5L TSI DSG (DCT) in Delhi. Powered by a 1498 cc petrol engine delivering 18.86 km/l. Complete service history available.</t>
  </si>
  <si>
    <t>CAR-1046</t>
  </si>
  <si>
    <t>Skoda Kylaq</t>
  </si>
  <si>
    <t>Kylaq</t>
  </si>
  <si>
    <t>Prestige 1.0L TSI AT</t>
  </si>
  <si>
    <t>2026-12-10</t>
  </si>
  <si>
    <t>MQB-A0-IN Platform, 6-Way Powered &amp; Ventilated Front Seats, Electric Sunroof, 25+ Active Safety Features</t>
  </si>
  <si>
    <t>Well-maintained 2024 like new condition Skoda Kylaq Prestige 1.0L TSI AT (Automatic) in Pune. Powered by a 999 cc petrol engine delivering 19.05 km/l. Complete service history available.</t>
  </si>
  <si>
    <t>CAR-1047</t>
  </si>
  <si>
    <t>MG</t>
  </si>
  <si>
    <t>MG Hector</t>
  </si>
  <si>
    <t>Hector</t>
  </si>
  <si>
    <t>Sharp Pro 1.5L Turbo CVT</t>
  </si>
  <si>
    <t>2027-11-15</t>
  </si>
  <si>
    <t>14-inch HD Portrait Infotainment, Dual-Pane Panoramic Sunroof, Level 2 ADAS, Digital Bluetooth Key</t>
  </si>
  <si>
    <t>Well-maintained 2016 fair condition MG Hector Sharp Pro 1.5L Turbo CVT (CVT) in Coimbatore. Powered by a 1451 cc petrol engine delivering 13.79 km/l. Complete service history available.</t>
  </si>
  <si>
    <t>CAR-1048</t>
  </si>
  <si>
    <t>MG Windsor EV</t>
  </si>
  <si>
    <t>Windsor EV</t>
  </si>
  <si>
    <t>Essence 38 kWh</t>
  </si>
  <si>
    <t>2029-12-20</t>
  </si>
  <si>
    <t>135-Degree Aero Lounge Reclining Seats, Infinity View Glass Roof, 15.6-inch GrandView Touch Display</t>
  </si>
  <si>
    <t>Brand-new 2026 showroom condition MG Windsor EV Essence 38 kWh (Automatic) in Kochi. Powered by a 38 kWh battery delivering 332 km certified range. Complete service history available.</t>
  </si>
  <si>
    <t>CAR-1049</t>
  </si>
  <si>
    <t>MG ZS EV</t>
  </si>
  <si>
    <t>ZS EV</t>
  </si>
  <si>
    <t>Exclusive Plus 50.3 kWh</t>
  </si>
  <si>
    <t>2027-01-25</t>
  </si>
  <si>
    <t>Level 2 ADAS, Panoramic Sky Roof, i-SMART 75+ Connected Features, PM2.5 Filter</t>
  </si>
  <si>
    <t>Well-maintained 2021 excellent condition MG ZS EV Exclusive Plus 50.3 kWh (Automatic) in Ahmedabad. Powered by a 50.3 kWh battery delivering 461 km certified range. Complete service history available.</t>
  </si>
  <si>
    <t>CAR-1050</t>
  </si>
  <si>
    <t>BYD</t>
  </si>
  <si>
    <t>BYD Atto 3</t>
  </si>
  <si>
    <t>Atto 3</t>
  </si>
  <si>
    <t>Superior 60.48 kWh Blade Battery</t>
  </si>
  <si>
    <t>2026-12-03</t>
  </si>
  <si>
    <t>BYD Blade Battery, 12.8-inch Rotating Touchscreen, Level 2 ADAS, NFC Card Key</t>
  </si>
  <si>
    <t>Well-maintained 2024 like new condition BYD Atto 3 Superior 60.48 kWh Blade Battery (Automatic) in Kolkata. Powered by a 60.48 kWh battery delivering 521 km certified range. Inspected for mechanical reliability.</t>
  </si>
  <si>
    <t>CAR-1051</t>
  </si>
  <si>
    <t>BYD Seal</t>
  </si>
  <si>
    <t>Seal</t>
  </si>
  <si>
    <t>Premium 82.56 kWh Extended Range</t>
  </si>
  <si>
    <t>2027-03-08</t>
  </si>
  <si>
    <t>Cell-to-Body (CTB) Technology, 15.6-inch Rotating Screen, Dynaudio 12-Speaker Sound, Panoramic Silver-Plated Glass Roof</t>
  </si>
  <si>
    <t>Well-maintained 2025 like new condition BYD Seal Premium 82.56 kWh Extended Range (Automatic) in Chennai. Powered by a 82.56 kWh battery delivering 650 km certified range. Complete service history available.</t>
  </si>
  <si>
    <t>CAR-1052</t>
  </si>
  <si>
    <t>BMW</t>
  </si>
  <si>
    <t>BMW 3 Series Gran Limousine</t>
  </si>
  <si>
    <t>3 Series Gran Limousine</t>
  </si>
  <si>
    <t>330Li M Sport</t>
  </si>
  <si>
    <t>Luxury</t>
  </si>
  <si>
    <t>2026-12-13</t>
  </si>
  <si>
    <t>Extended 2,961mm Wheelbase, BMW Curved Display iDrive 8, Harman Kardon 16-Speaker Surround, Panoramic Sunroof</t>
  </si>
  <si>
    <t>Well-maintained 2015 fair condition BMW 3 Series Gran Limousine 330Li M Sport (Automatic) in Bengaluru. Powered by a 1998 cc petrol engine delivering 15.39 km/l. Complete service history available.</t>
  </si>
  <si>
    <t>CAR-1053</t>
  </si>
  <si>
    <t>BMW X1</t>
  </si>
  <si>
    <t>X1</t>
  </si>
  <si>
    <t>sDrive18d M Sport</t>
  </si>
  <si>
    <t>2027-05-18</t>
  </si>
  <si>
    <t>Active Front Seats with Massage Function, Adaptive LED Headlights, Harman Kardon 12-Speaker System</t>
  </si>
  <si>
    <t>Well-maintained 2022 excellent condition BMW X1 sDrive18d M Sport (DCT) in Hyderabad. Powered by a 1995 cc diesel engine delivering 20.37 km/l. Complete service history available.</t>
  </si>
  <si>
    <t>CAR-1054</t>
  </si>
  <si>
    <t>BMW iX1</t>
  </si>
  <si>
    <t>iX1</t>
  </si>
  <si>
    <t>xDrive30 M Sport 66.4 kWh</t>
  </si>
  <si>
    <t>2026-12-23</t>
  </si>
  <si>
    <t>Dual-Motor xDrive All-Wheel Drive, Adaptive M Suspension, BMW Curved Display, Reversing Assistant</t>
  </si>
  <si>
    <t>Well-maintained 2024 like new condition BMW iX1 xDrive30 M Sport 66.4 kWh (Automatic) in Mumbai. Powered by a 66.4 kWh battery delivering 440 km certified range. Complete service history available.</t>
  </si>
  <si>
    <t>CAR-1055</t>
  </si>
  <si>
    <t>Mercedes-Benz</t>
  </si>
  <si>
    <t>Mercedes-Benz C-Class</t>
  </si>
  <si>
    <t>C-Class</t>
  </si>
  <si>
    <t>C 200 Avantgarde</t>
  </si>
  <si>
    <t>2027-07-01</t>
  </si>
  <si>
    <t>11.9-inch Portrait MBUX Gen 2 Touchscreen, 48V Integrated Starter Generator, Burmester 3D Surround</t>
  </si>
  <si>
    <t>Well-maintained 2024 like new condition Mercedes-Benz C-Class C 200 Avantgarde (Automatic) in Delhi. Powered by a 1496 cc petrol engine delivering 16.9 km/l. Complete service history available.</t>
  </si>
  <si>
    <t>CAR-1056</t>
  </si>
  <si>
    <t>Mercedes-Benz GLC</t>
  </si>
  <si>
    <t>GLC</t>
  </si>
  <si>
    <t>300 4MATIC</t>
  </si>
  <si>
    <t>Transparent Bonnet Off-Road View, 4MATIC All-Wheel Drive, Burmester 15-Speaker 710W Sound</t>
  </si>
  <si>
    <t>Well-maintained 2019 good condition Mercedes-Benz GLC 300 4MATIC (Automatic) in Pune. Powered by a 1999 cc petrol engine delivering 14.72 km/l. Complete service history available.</t>
  </si>
  <si>
    <t>CAR-1057</t>
  </si>
  <si>
    <t>Mercedes-Benz EQA</t>
  </si>
  <si>
    <t>EQA</t>
  </si>
  <si>
    <t>250+ 70.5 kWh</t>
  </si>
  <si>
    <t>2027-09-11</t>
  </si>
  <si>
    <t>Burmester Surround with Dolby Atmos, Augmented Reality Navigation, Blind Spot Assist, Gesture Control</t>
  </si>
  <si>
    <t>Well-maintained 2023 excellent condition Mercedes-Benz EQA 250+ 70.5 kWh (Automatic) in Coimbatore. Powered by a 70.5 kWh battery delivering 560 km certified range. Inspected for mechanical reliability.</t>
  </si>
  <si>
    <t>CAR-1058</t>
  </si>
  <si>
    <t>Audi</t>
  </si>
  <si>
    <t>Audi A4</t>
  </si>
  <si>
    <t>A4</t>
  </si>
  <si>
    <t>Technology 40 TFSI</t>
  </si>
  <si>
    <t>Audi Virtual Cockpit Plus, Bang &amp; Olufsen 19-Speaker 3D Sound, Matrix LED Headlights, Park Assist</t>
  </si>
  <si>
    <t>Well-maintained 2021 excellent condition Audi A4 Technology 40 TFSI (DCT) in Kochi. Powered by a 1984 cc petrol engine delivering 17.4 km/l. Complete service history available.</t>
  </si>
  <si>
    <t>CAR-1059</t>
  </si>
  <si>
    <t>Audi Q3</t>
  </si>
  <si>
    <t>Q3</t>
  </si>
  <si>
    <t>Technology 40 TFSI quattro</t>
  </si>
  <si>
    <t>2027-11-21</t>
  </si>
  <si>
    <t>quattro Permanent All-Wheel Drive, Panoramic Glass Sunroof, Gesture Controlled Tailgate, 30-Colour Ambient Light</t>
  </si>
  <si>
    <t>Well-maintained 2016 fair condition Audi Q3 Technology 40 TFSI quattro (DCT) in Ahmedabad. Powered by a 1984 cc petrol engine delivering 14.93 km/l. Complete service history available.</t>
  </si>
  <si>
    <t>CAR-1060</t>
  </si>
  <si>
    <t>Audi Q8 e-tron</t>
  </si>
  <si>
    <t>Q8 e-tron</t>
  </si>
  <si>
    <t>55 quattro 114 kWh</t>
  </si>
  <si>
    <t>2029-12-26</t>
  </si>
  <si>
    <t>Adaptive Air Suspension, Dual quattro Electric Motors, 170 kW DC Fast Charging, Digital Matrix LED</t>
  </si>
  <si>
    <t>Brand-new 2026 showroom condition Audi Q8 e-tron 55 quattro 114 kWh (Automatic) in Kolkata. Powered by a 114 kWh battery delivering 582 km certified range. Complete service history available.</t>
  </si>
  <si>
    <t>CAR-1061</t>
  </si>
  <si>
    <t>Jeep</t>
  </si>
  <si>
    <t>Jeep Compass</t>
  </si>
  <si>
    <t>Compass</t>
  </si>
  <si>
    <t>Model S (O) 2.0L Multijet II 4x4 AT</t>
  </si>
  <si>
    <t>2027-01-04</t>
  </si>
  <si>
    <t>Jeep Active Drive 4x4 Selec-Terrain, 9-Speed Automatic, Ventilated Leather Seats, Alpine 9-Speaker Audio</t>
  </si>
  <si>
    <t>Well-maintained 2018 fair condition Jeep Compass Model S (O) 2.0L Multijet II 4x4 AT (Automatic) in Chennai. Powered by a 1956 cc diesel engine delivering 14.9 km/l. Complete service history available.</t>
  </si>
  <si>
    <t>CAR-1062</t>
  </si>
  <si>
    <t>Well-maintained 2025 like new condition Maruti Suzuki Swift ZXi+ 1.2L DualJet (Manual) in Bengaluru. Powered by a 1197 cc petrol engine delivering 22.38 km/l. Complete service history available.</t>
  </si>
  <si>
    <t>CAR-1063</t>
  </si>
  <si>
    <t>2027-03-14</t>
  </si>
  <si>
    <t>Well-maintained 2020 excellent condition Maruti Suzuki Baleno Alpha 1.2L AGS (AMT) in Hyderabad. Powered by a 1197 cc petrol engine delivering 22.94 km/l. Complete service history available.</t>
  </si>
  <si>
    <t>CAR-1064</t>
  </si>
  <si>
    <t>Well-maintained 2015 fair condition Maruti Suzuki Brezza ZXi+ 1.5L Smart Hybrid AT (Automatic) in Mumbai. Powered by a 1462 cc petrol engine delivering 19.8 km/l. Inspected for mechanical reliability.</t>
  </si>
  <si>
    <t>CAR-1065</t>
  </si>
  <si>
    <t>2027-05-24</t>
  </si>
  <si>
    <t>Well-maintained 2022 excellent condition Maruti Suzuki Wagon R VXi 1.0L S-CNG (Manual) in Delhi. Powered by a 998 cc cng engine delivering 33.47 km/l. Complete service history available.</t>
  </si>
  <si>
    <t>CAR-1066</t>
  </si>
  <si>
    <t>Well-maintained 2017 fair condition Maruti Suzuki Ertiga ZXi 1.5L S-CNG (Manual) in Pune. Powered by a 1462 cc cng engine delivering 26.11 km/l. Complete service history available.</t>
  </si>
  <si>
    <t>CAR-1067</t>
  </si>
  <si>
    <t>2027-07-07</t>
  </si>
  <si>
    <t>Well-maintained 2025 like new condition Maruti Suzuki Grand Vitara Alpha+ 1.5L Intelligent Electric Hybrid (CVT) in Coimbatore. Powered by a 1490 cc hybrid engine delivering 27.97 km/l. Complete service history available.</t>
  </si>
  <si>
    <t>CAR-1068</t>
  </si>
  <si>
    <t>Well-maintained 2019 good condition Maruti Suzuki Dzire ZXi+ 1.2L AGS (AMT) in Kochi. Powered by a 1197 cc petrol engine delivering 25.71 km/l. Complete service history available.</t>
  </si>
  <si>
    <t>CAR-1069</t>
  </si>
  <si>
    <t>2029-09-17</t>
  </si>
  <si>
    <t>Brand-new 2026 showroom condition Hyundai Creta SX (O) 1.5L Turbo GDi DCT (DCT) in Ahmedabad. Powered by a 1482 cc petrol engine delivering 18.4 km/l. Complete service history available.</t>
  </si>
  <si>
    <t>CAR-1070</t>
  </si>
  <si>
    <t>Well-maintained 2021 excellent condition Hyundai Creta SX Tech 1.5L CRDi AT (Automatic) in Kolkata. Powered by a 1493 cc diesel engine delivering 19.1 km/l. Complete service history available.</t>
  </si>
  <si>
    <t>CAR-1071</t>
  </si>
  <si>
    <t>2027-11-27</t>
  </si>
  <si>
    <t>Well-maintained 2016 good condition Hyundai i20 Asta (O) 1.2L Kappa IVT (CVT) in Chennai. Powered by a 1197 cc petrol engine delivering 19.65 km/l. Inspected for mechanical reliability.</t>
  </si>
  <si>
    <t>CAR-1072</t>
  </si>
  <si>
    <t>Well-maintained 2023 excellent condition Hyundai Verna SX (O) 1.5L Turbo GDi DCT (DCT) in Bengaluru. Powered by a 1482 cc petrol engine delivering 20.6 km/l. Complete service history available.</t>
  </si>
  <si>
    <t>CAR-1073</t>
  </si>
  <si>
    <t>2027-01-10</t>
  </si>
  <si>
    <t>Well-maintained 2018 good condition Hyundai Venue SX (O) 1.0L Turbo DCT (DCT) in Hyderabad. Powered by a 998 cc petrol engine delivering 18.31 km/l. Complete service history available.</t>
  </si>
  <si>
    <t>CAR-1074</t>
  </si>
  <si>
    <t>Well-maintained 2024 like new condition Hyundai Ioniq 5 RWD 72.6 kWh Long Range (Automatic) in Mumbai. Powered by a 72.6 kWh battery delivering 631 km certified range. Complete service history available.</t>
  </si>
  <si>
    <t>CAR-1075</t>
  </si>
  <si>
    <t>2027-03-20</t>
  </si>
  <si>
    <t>Well-maintained 2020 good condition Hyundai Grand i10 Nios Sportz 1.2L Hy-CNG Duo (Manual) in Delhi. Powered by a 1197 cc cng engine delivering 27.3 km/l. Complete service history available.</t>
  </si>
  <si>
    <t>CAR-1076</t>
  </si>
  <si>
    <t>Well-maintained 2015 fair condition Tata Nexon Fearless+ S 1.2L Turbo DCA (DCT) in Pune. Powered by a 1199 cc petrol engine delivering 17.01 km/l. Complete service history available.</t>
  </si>
  <si>
    <t>CAR-1077</t>
  </si>
  <si>
    <t>2027-05-03</t>
  </si>
  <si>
    <t>Well-maintained 2025 like new condition Tata Nexon.ev Empowered+ 45 kWh Long Range (Automatic) in Coimbatore. Powered by a 45 kWh battery delivering 489 km certified range. Complete service history available.</t>
  </si>
  <si>
    <t>CAR-1078</t>
  </si>
  <si>
    <t>2026-12-08</t>
  </si>
  <si>
    <t>Well-maintained 2017 fair condition Tata Punch Accomplished+ S iCNG (Manual) in Kochi. Powered by a 1199 cc cng engine delivering 26.99 km/l. Inspected for mechanical reliability.</t>
  </si>
  <si>
    <t>CAR-1079</t>
  </si>
  <si>
    <t>2027-07-13</t>
  </si>
  <si>
    <t>Well-maintained 2025 like new condition Tata Punch.ev Empowered+ S 35 kWh Long Range (Automatic) in Ahmedabad. Powered by a 35 kWh battery delivering 421 km certified range. Complete service history available.</t>
  </si>
  <si>
    <t>CAR-1080</t>
  </si>
  <si>
    <t>Well-maintained 2019 good condition Tata Harrier Fearless+ Dark 2.0L Kryotec AT (Automatic) in Kolkata. Powered by a 1956 cc diesel engine delivering 16.8 km/l. Complete service history available.</t>
  </si>
  <si>
    <t>CAR-1081</t>
  </si>
  <si>
    <t>2029-09-23</t>
  </si>
  <si>
    <t>Brand-new 2026 showroom condition Tata Safari Accomplished+ 2.0L Kryotec AT 6S (Automatic) in Chennai. Powered by a 1956 cc diesel engine delivering 16.3 km/l. Complete service history available.</t>
  </si>
  <si>
    <t>CAR-1082</t>
  </si>
  <si>
    <t>Well-maintained 2024 like new condition Tata Curvv.ev Empowered+ A 55 kWh (Automatic) in Bengaluru. Powered by a 55 kWh battery delivering 585 km certified range. Complete service history available.</t>
  </si>
  <si>
    <t>CAR-1083</t>
  </si>
  <si>
    <t>2027-11-06</t>
  </si>
  <si>
    <t>Well-maintained 2016 fair condition Mahindra XUV700 AX7 Luxury Pack 2.2L mHawk AT AWD (Automatic) in Hyderabad. Powered by a 2198 cc diesel engine delivering 15.5 km/l. Complete service history available.</t>
  </si>
  <si>
    <t>CAR-1084</t>
  </si>
  <si>
    <t>Well-maintained 2023 excellent condition Mahindra Scorpio-N Z8L 2.2L mHawk 4XPLOR AT (Automatic) in Mumbai. Powered by a 2198 cc diesel engine delivering 15.4 km/l. Complete service history available.</t>
  </si>
  <si>
    <t>CAR-1085</t>
  </si>
  <si>
    <t>2027-01-16</t>
  </si>
  <si>
    <t>Well-maintained 2023 excellent condition Mahindra Thar ROXX AX7L 2.2L mHawk 4WD AT (Automatic) in Delhi. Powered by a 2184 cc diesel engine delivering 15.2 km/l. Inspected for mechanical reliability.</t>
  </si>
  <si>
    <t>CAR-1086</t>
  </si>
  <si>
    <t>Well-maintained 2024 like new condition Mahindra XUV 3XO AX7L 1.2L TGDi AT (Automatic) in Pune. Powered by a 1197 cc petrol engine delivering 18.2 km/l. Complete service history available.</t>
  </si>
  <si>
    <t>CAR-1087</t>
  </si>
  <si>
    <t>2027-03-26</t>
  </si>
  <si>
    <t>Well-maintained 2025 like new condition Mahindra BE 6 Pack Three 79 kWh (Automatic) in Coimbatore. Powered by a 79 kWh battery delivering 682 km certified range. Complete service history available.</t>
  </si>
  <si>
    <t>CAR-1088</t>
  </si>
  <si>
    <t>Well-maintained 2015 fair condition Honda City ZX 1.5L i-VTEC CVT (CVT) in Kochi. Powered by a 1498 cc petrol engine delivering 18.4 km/l. Complete service history available.</t>
  </si>
  <si>
    <t>CAR-1089</t>
  </si>
  <si>
    <t>2027-05-09</t>
  </si>
  <si>
    <t>Well-maintained 2022 excellent condition Honda City e:HEV ZX 1.5L Atkinson e-CVT (CVT) in Ahmedabad. Powered by a 1498 cc hybrid engine delivering 27.13 km/l. Complete service history available.</t>
  </si>
  <si>
    <t>CAR-1090</t>
  </si>
  <si>
    <t>Well-maintained 2024 like new condition Honda Elevate ZX 1.5L i-VTEC CVT (CVT) in Kolkata. Powered by a 1498 cc petrol engine delivering 16.92 km/l. Complete service history available.</t>
  </si>
  <si>
    <t>CAR-1091</t>
  </si>
  <si>
    <t>2027-07-19</t>
  </si>
  <si>
    <t>Well-maintained 2024 like new condition Honda Amaze ZX 1.2L i-VTEC CVT (CVT) in Chennai. Powered by a 1199 cc petrol engine delivering 19.46 km/l. Complete service history available.</t>
  </si>
  <si>
    <t>CAR-1092</t>
  </si>
  <si>
    <t>2029-08-24</t>
  </si>
  <si>
    <t>Brand-new 2026 showroom condition Toyota Innova Hycross ZX (O) 2.0L Strong Hybrid e-Drive (CVT) in Bengaluru. Powered by a 1987 cc hybrid engine delivering 23.24 km/l. Complete service history available.</t>
  </si>
  <si>
    <t>CAR-1093</t>
  </si>
  <si>
    <t>2029-09-02</t>
  </si>
  <si>
    <t>Brand-new 2026 showroom condition Toyota Fortuner Legender 2.8L 4x4 AT (Automatic) in Hyderabad. Powered by a 2755 cc diesel engine delivering 14.2 km/l. Complete service history available.</t>
  </si>
  <si>
    <t>CAR-1094</t>
  </si>
  <si>
    <t>Well-maintained 2024 like new condition Toyota Urban Cruiser Hyryder V 1.5L e-Drive Hybrid (CVT) in Mumbai. Powered by a 1490 cc hybrid engine delivering 27.97 km/l. Complete service history available.</t>
  </si>
  <si>
    <t>CAR-1095</t>
  </si>
  <si>
    <t>2027-11-12</t>
  </si>
  <si>
    <t>Well-maintained 2016 fair condition Toyota Glanza V 1.2L DualJet AMT (AMT) in Delhi. Powered by a 1197 cc petrol engine delivering 22.94 km/l. Complete service history available.</t>
  </si>
  <si>
    <t>CAR-1096</t>
  </si>
  <si>
    <t>Well-maintained 2023 like new condition Kia Seltos GTX+ 1.5L Turbo GDi DCT (DCT) in Pune. Powered by a 1482 cc petrol engine delivering 17.9 km/l. Complete service history available.</t>
  </si>
  <si>
    <t>CAR-1097</t>
  </si>
  <si>
    <t>2027-01-22</t>
  </si>
  <si>
    <t>Well-maintained 2018 fair condition Kia Sonet GTX+ 1.5L CRDi AT (Automatic) in Coimbatore. Powered by a 1493 cc diesel engine delivering 18.6 km/l. Complete service history available.</t>
  </si>
  <si>
    <t>CAR-1098</t>
  </si>
  <si>
    <t>Well-maintained 2025 like new condition Kia Carens Luxury Plus 1.5L Turbo DCT 7S (DCT) in Kochi. Powered by a 1482 cc petrol engine delivering 16.8 km/l. Complete service history available.</t>
  </si>
  <si>
    <t>CAR-1099</t>
  </si>
  <si>
    <t>2027-03-05</t>
  </si>
  <si>
    <t>Well-maintained 2025 like new condition Kia EV6 GT Line AWD 77.4 kWh (Automatic) in Ahmedabad. Powered by a 77.4 kWh battery delivering 708 km certified range. Inspected for mechanical reliability.</t>
  </si>
  <si>
    <t>CAR-1100</t>
  </si>
  <si>
    <t>Well-maintained 2015 good condition Renault Kiger RXZ 1.0L Turbo X-Tronic CVT (CVT) in Kolkata. Powered by a 999 cc petrol engine delivering 18.24 km/l. Complete service history available.</t>
  </si>
  <si>
    <t>CAR-1101</t>
  </si>
  <si>
    <t>2027-05-15</t>
  </si>
  <si>
    <t>Well-maintained 2022 excellent condition Renault Triber RXZ 1.0L Easy-R AMT (AMT) in Chennai. Powered by a 999 cc petrol engine delivering 18.2 km/l. Complete service history available.</t>
  </si>
  <si>
    <t>CAR-1102</t>
  </si>
  <si>
    <t>2026-12-20</t>
  </si>
  <si>
    <t>Well-maintained 2017 fair condition Renault Kwid Climber 1.0L Easy-R AMT (AMT) in Bengaluru. Powered by a 999 cc petrol engine delivering 22.3 km/l. Complete service history available.</t>
  </si>
  <si>
    <t>CAR-1103</t>
  </si>
  <si>
    <t>2027-07-25</t>
  </si>
  <si>
    <t>Well-maintained 2024 like new condition Volkswagen Virtus GT Plus 1.5L TSI EVO DSG (DCT) in Hyderabad. Powered by a 1498 cc petrol engine delivering 19.62 km/l. Complete service history available.</t>
  </si>
  <si>
    <t>CAR-1104</t>
  </si>
  <si>
    <t>Well-maintained 2019 good condition Volkswagen Taigun GT Plus Chrome 1.5L TSI DSG (DCT) in Mumbai. Powered by a 1498 cc petrol engine delivering 19.01 km/l. Complete service history available.</t>
  </si>
  <si>
    <t>CAR-1105</t>
  </si>
  <si>
    <t>2029-09-08</t>
  </si>
  <si>
    <t>Brand-new 2026 showroom condition Skoda Slavia Prestige 1.5L TSI DSG (DCT) in Delhi. Powered by a 1498 cc petrol engine delivering 19.36 km/l. Complete service history available.</t>
  </si>
  <si>
    <t>CAR-1106</t>
  </si>
  <si>
    <t>Well-maintained 2021 excellent condition Skoda Kushaq Monte Carlo 1.5L TSI DSG (DCT) in Pune. Powered by a 1498 cc petrol engine delivering 18.86 km/l. Inspected for mechanical reliability.</t>
  </si>
  <si>
    <t>CAR-1107</t>
  </si>
  <si>
    <t>2027-11-18</t>
  </si>
  <si>
    <t>Well-maintained 2025 like new condition Skoda Kylaq Prestige 1.0L TSI AT (Automatic) in Coimbatore. Powered by a 999 cc petrol engine delivering 19.05 km/l. Complete service history available.</t>
  </si>
  <si>
    <t>CAR-1108</t>
  </si>
  <si>
    <t>Well-maintained 2023 like new condition MG Hector Sharp Pro 1.5L Turbo CVT (CVT) in Kochi. Powered by a 1451 cc petrol engine delivering 13.79 km/l. Complete service history available.</t>
  </si>
  <si>
    <t>CAR-1109</t>
  </si>
  <si>
    <t>Well-maintained 2023 like new condition MG Windsor EV Essence 38 kWh (Automatic) in Ahmedabad. Powered by a 38 kWh battery delivering 332 km certified range. Complete service history available.</t>
  </si>
  <si>
    <t>CAR-1110</t>
  </si>
  <si>
    <t>Well-maintained 2022 excellent condition MG ZS EV Exclusive Plus 50.3 kWh (Automatic) in Kolkata. Powered by a 50.3 kWh battery delivering 461 km certified range. Complete service history available.</t>
  </si>
  <si>
    <t>CAR-1111</t>
  </si>
  <si>
    <t>Well-maintained 2025 like new condition BYD Atto 3 Superior 60.48 kWh Blade Battery (Automatic) in Chennai. Powered by a 60.48 kWh battery delivering 521 km certified range. Complete service history available.</t>
  </si>
  <si>
    <t>CAR-1112</t>
  </si>
  <si>
    <t>Well-maintained 2026 like new condition BYD Seal Premium 82.56 kWh Extended Range (Automatic) in Bengaluru. Powered by a 82.56 kWh battery delivering 650 km certified range. Complete service history available.</t>
  </si>
  <si>
    <t>CAR-1113</t>
  </si>
  <si>
    <t>Well-maintained 2022 excellent condition BMW 3 Series Gran Limousine 330Li M Sport (Automatic) in Hyderabad. Powered by a 1998 cc petrol engine delivering 15.39 km/l. Inspected for mechanical reliability.</t>
  </si>
  <si>
    <t>CAR-1114</t>
  </si>
  <si>
    <t>Well-maintained 2017 fair condition BMW X1 sDrive18d M Sport (DCT) in Mumbai. Powered by a 1995 cc diesel engine delivering 20.37 km/l. Complete service history available.</t>
  </si>
  <si>
    <t>CAR-1115</t>
  </si>
  <si>
    <t>Well-maintained 2025 like new condition BMW iX1 xDrive30 M Sport 66.4 kWh (Automatic) in Delhi. Powered by a 66.4 kWh battery delivering 440 km certified range. Complete service history available.</t>
  </si>
  <si>
    <t>CAR-1116</t>
  </si>
  <si>
    <t>Well-maintained 2019 good condition Mercedes-Benz C-Class C 200 Avantgarde (Automatic) in Pune. Powered by a 1496 cc petrol engine delivering 16.9 km/l. Complete service history available.</t>
  </si>
  <si>
    <t>CAR-1117</t>
  </si>
  <si>
    <t>Brand-new 2026 showroom condition Mercedes-Benz GLC 300 4MATIC (Automatic) in Coimbatore. Powered by a 1999 cc petrol engine delivering 14.72 km/l. Complete service history available.</t>
  </si>
  <si>
    <t>CAR-1118</t>
  </si>
  <si>
    <t>Well-maintained 2024 like new condition Mercedes-Benz EQA 250+ 70.5 kWh (Automatic) in Kochi. Powered by a 70.5 kWh battery delivering 560 km certified range. Complete service history available.</t>
  </si>
  <si>
    <t>CAR-1119</t>
  </si>
  <si>
    <t>Well-maintained 2016 fair condition Audi A4 Technology 40 TFSI (DCT) in Ahmedabad. Powered by a 1984 cc petrol engine delivering 17.4 km/l. Complete service history available.</t>
  </si>
  <si>
    <t>CAR-1120</t>
  </si>
  <si>
    <t>Well-maintained 2023 like new condition Audi Q3 Technology 40 TFSI quattro (DCT) in Kolkata. Powered by a 1984 cc petrol engine delivering 14.93 km/l. Inspected for mechanical reliability.</t>
  </si>
  <si>
    <t>CAR-1121</t>
  </si>
  <si>
    <t>Well-maintained 2023 like new condition Audi Q8 e-tron 55 quattro 114 kWh (Automatic) in Chennai. Powered by a 114 kWh battery delivering 582 km certified range. Complete service history available.</t>
  </si>
  <si>
    <t>CAR-1122</t>
  </si>
  <si>
    <t>Well-maintained 2025 like new condition Jeep Compass Model S (O) 2.0L Multijet II 4x4 AT (Automatic) in Bengaluru. Powered by a 1956 cc diesel engine delivering 14.9 km/l. Complete service history available.</t>
  </si>
  <si>
    <t>CAR-1123</t>
  </si>
  <si>
    <t>Well-maintained 2020 good condition Maruti Suzuki Swift ZXi+ 1.2L DualJet (Manual) in Hyderabad. Powered by a 1197 cc petrol engine delivering 22.38 km/l. Complete service history available.</t>
  </si>
  <si>
    <t>CAR-1124</t>
  </si>
  <si>
    <t>Well-maintained 2015 fair condition Maruti Suzuki Baleno Alpha 1.2L AGS (AMT) in Mumbai. Powered by a 1197 cc petrol engine delivering 22.94 km/l. Complete service history available.</t>
  </si>
  <si>
    <t>CAR-1125</t>
  </si>
  <si>
    <t>Well-maintained 2022 excellent condition Maruti Suzuki Brezza ZXi+ 1.5L Smart Hybrid AT (Automatic) in Delhi. Powered by a 1462 cc petrol engine delivering 19.8 km/l. Complete service history available.</t>
  </si>
  <si>
    <t>CAR-1126</t>
  </si>
  <si>
    <t>Well-maintained 2017 good condition Maruti Suzuki Wagon R VXi 1.0L S-CNG (Manual) in Pune. Powered by a 998 cc cng engine delivering 33.47 km/l. Complete service history available.</t>
  </si>
  <si>
    <t>CAR-1127</t>
  </si>
  <si>
    <t>Well-maintained 2024 like new condition Maruti Suzuki Ertiga ZXi 1.5L S-CNG (Manual) in Coimbatore. Powered by a 1462 cc cng engine delivering 26.11 km/l. Inspected for mechanical reliability.</t>
  </si>
  <si>
    <t>CAR-1128</t>
  </si>
  <si>
    <t>2029-08-15</t>
  </si>
  <si>
    <t>Brand-new 2026 showroom condition Maruti Suzuki Grand Vitara Alpha+ 1.5L Intelligent Electric Hybrid (CVT) in Kochi. Powered by a 1490 cc hybrid engine delivering 27.97 km/l. Complete service history available.</t>
  </si>
  <si>
    <t>CAR-1129</t>
  </si>
  <si>
    <t>2029-09-20</t>
  </si>
  <si>
    <t>Brand-new 2026 showroom condition Maruti Suzuki Dzire ZXi+ 1.2L AGS (AMT) in Ahmedabad. Powered by a 1197 cc petrol engine delivering 25.71 km/l. Complete service history available.</t>
  </si>
  <si>
    <t>CAR-1130</t>
  </si>
  <si>
    <t>Well-maintained 2021 excellent condition Hyundai Creta SX (O) 1.5L Turbo GDi DCT (DCT) in Kolkata. Powered by a 1482 cc petrol engine delivering 18.4 km/l. Complete service history available.</t>
  </si>
  <si>
    <t>CAR-1131</t>
  </si>
  <si>
    <t>Well-maintained 2016 fair condition Hyundai Creta SX Tech 1.5L CRDi AT (Automatic) in Chennai. Powered by a 1493 cc diesel engine delivering 19.1 km/l. Complete service history available.</t>
  </si>
  <si>
    <t>CAR-1132</t>
  </si>
  <si>
    <t>Well-maintained 2023 like new condition Hyundai i20 Asta (O) 1.2L Kappa IVT (CVT) in Bengaluru. Powered by a 1197 cc petrol engine delivering 19.65 km/l. Complete service history available.</t>
  </si>
  <si>
    <t>CAR-1133</t>
  </si>
  <si>
    <t>Well-maintained 2018 good condition Hyundai Verna SX (O) 1.5L Turbo GDi DCT (DCT) in Hyderabad. Powered by a 1482 cc petrol engine delivering 20.6 km/l. Complete service history available.</t>
  </si>
  <si>
    <t>CAR-1134</t>
  </si>
  <si>
    <t>Well-maintained 2025 like new condition Hyundai Venue SX (O) 1.0L Turbo DCT (DCT) in Mumbai. Powered by a 998 cc petrol engine delivering 18.31 km/l. Inspected for mechanical reliability.</t>
  </si>
  <si>
    <t>CAR-1135</t>
  </si>
  <si>
    <t>Well-maintained 2025 like new condition Hyundai Ioniq 5 RWD 72.6 kWh Long Range (Automatic) in Delhi. Powered by a 72.6 kWh battery delivering 631 km certified range. Complete service history available.</t>
  </si>
  <si>
    <t>CAR-1136</t>
  </si>
  <si>
    <t>Well-maintained 2015 fair condition Hyundai Grand i10 Nios Sportz 1.2L Hy-CNG Duo (Manual) in Pune. Powered by a 1197 cc cng engine delivering 27.3 km/l. Complete service history available.</t>
  </si>
  <si>
    <t>CAR-1137</t>
  </si>
  <si>
    <t>Well-maintained 2022 excellent condition Tata Nexon Fearless+ S 1.2L Turbo DCA (DCT) in Coimbatore. Powered by a 1199 cc petrol engine delivering 17.01 km/l. Complete service history available.</t>
  </si>
  <si>
    <t>CAR-1138</t>
  </si>
  <si>
    <t>2029-06-11</t>
  </si>
  <si>
    <t>Brand-new 2026 showroom condition Tata Nexon.ev Empowered+ 45 kWh Long Range (Automatic) in Kochi. Powered by a 45 kWh battery delivering 489 km certified range. Complete service history available.</t>
  </si>
  <si>
    <t>CAR-1139</t>
  </si>
  <si>
    <t>Well-maintained 2024 excellent condition Tata Punch Accomplished+ S iCNG (Manual) in Ahmedabad. Powered by a 1199 cc cng engine delivering 26.99 km/l. Complete service history available.</t>
  </si>
  <si>
    <t>CAR-1140</t>
  </si>
  <si>
    <t>2029-08-21</t>
  </si>
  <si>
    <t>Brand-new 2026 showroom condition Tata Punch.ev Empowered+ S 35 kWh Long Range (Automatic) in Kolkata. Powered by a 35 kWh battery delivering 421 km certified range. Complete service history available.</t>
  </si>
  <si>
    <t>CAR-1141</t>
  </si>
  <si>
    <t>2029-09-26</t>
  </si>
  <si>
    <t>Brand-new 2026 showroom condition Tata Harrier Fearless+ Dark 2.0L Kryotec AT (Automatic) in Chennai. Powered by a 1956 cc diesel engine delivering 16.8 km/l. Complete service history available.</t>
  </si>
  <si>
    <t>CAR-1142</t>
  </si>
  <si>
    <t>Well-maintained 2021 good condition Tata Safari Accomplished+ 2.0L Kryotec AT 6S (Automatic) in Bengaluru. Powered by a 1956 cc diesel engine delivering 16.3 km/l. Complete service history available.</t>
  </si>
  <si>
    <t>CAR-1143</t>
  </si>
  <si>
    <t>Well-maintained 2025 like new condition Tata Curvv.ev Empowered+ A 55 kWh (Automatic) in Hyderabad. Powered by a 55 kWh battery delivering 585 km certified range. Complete service history available.</t>
  </si>
  <si>
    <t>CAR-1144</t>
  </si>
  <si>
    <t>Well-maintained 2023 excellent condition Mahindra XUV700 AX7 Luxury Pack 2.2L mHawk AT AWD (Automatic) in Mumbai. Powered by a 2198 cc diesel engine delivering 15.5 km/l. Complete service history available.</t>
  </si>
  <si>
    <t>CAR-1145</t>
  </si>
  <si>
    <t>Well-maintained 2018 fair condition Mahindra Scorpio-N Z8L 2.2L mHawk 4XPLOR AT (Automatic) in Delhi. Powered by a 2198 cc diesel engine delivering 15.4 km/l. Complete service history available.</t>
  </si>
  <si>
    <t>CAR-1146</t>
  </si>
  <si>
    <t>Well-maintained 2024 excellent condition Mahindra Thar ROXX AX7L 2.2L mHawk 4WD AT (Automatic) in Pune. Powered by a 2184 cc diesel engine delivering 15.2 km/l. Complete service history available.</t>
  </si>
  <si>
    <t>CAR-1147</t>
  </si>
  <si>
    <t>Well-maintained 2025 like new condition Mahindra XUV 3XO AX7L 1.2L TGDi AT (Automatic) in Coimbatore. Powered by a 1197 cc petrol engine delivering 18.2 km/l. Complete service history available.</t>
  </si>
  <si>
    <t>CAR-1148</t>
  </si>
  <si>
    <t>Well-maintained 2026 like new condition Mahindra BE 6 Pack Three 79 kWh (Automatic) in Kochi. Powered by a 79 kWh battery delivering 682 km certified range. Inspected for mechanical reliability.</t>
  </si>
  <si>
    <t>CAR-1149</t>
  </si>
  <si>
    <t>Well-maintained 2022 excellent condition Honda City ZX 1.5L i-VTEC CVT (CVT) in Ahmedabad. Powered by a 1498 cc petrol engine delivering 18.4 km/l. Complete service history available.</t>
  </si>
  <si>
    <t>CAR-1150</t>
  </si>
  <si>
    <t>Well-maintained 2017 good condition Honda City e:HEV ZX 1.5L Atkinson e-CVT (CVT) in Kolkata. Powered by a 1498 cc hybrid engine delivering 27.13 km/l. Complete service history available.</t>
  </si>
  <si>
    <t>CAR-1151</t>
  </si>
  <si>
    <t>Well-maintained 2025 like new condition Honda Elevate ZX 1.5L i-VTEC CVT (CVT) in Chennai. Powered by a 1498 cc petrol engine delivering 16.92 km/l. Complete service history available.</t>
  </si>
  <si>
    <t>CAR-1152</t>
  </si>
  <si>
    <t>Well-maintained 2019 good condition Honda Amaze ZX 1.2L i-VTEC CVT (CVT) in Bengaluru. Powered by a 1199 cc petrol engine delivering 19.46 km/l. Complete service history available.</t>
  </si>
  <si>
    <t>CAR-1153</t>
  </si>
  <si>
    <t>2027-09-05</t>
  </si>
  <si>
    <t>Well-maintained 2023 excellent condition Toyota Innova Hycross ZX (O) 2.0L Strong Hybrid e-Drive (CVT) in Hyderabad. Powered by a 1987 cc hybrid engine delivering 23.24 km/l. Complete service history available.</t>
  </si>
  <si>
    <t>CAR-1154</t>
  </si>
  <si>
    <t>Well-maintained 2021 good condition Toyota Fortuner Legender 2.8L 4x4 AT (Automatic) in Mumbai. Powered by a 2755 cc diesel engine delivering 14.2 km/l. Complete service history available.</t>
  </si>
  <si>
    <t>CAR-1155</t>
  </si>
  <si>
    <t>Well-maintained 2025 like new condition Toyota Urban Cruiser Hyryder V 1.5L e-Drive Hybrid (CVT) in Delhi. Powered by a 1490 cc hybrid engine delivering 27.97 km/l. Inspected for mechanical reliability.</t>
  </si>
  <si>
    <t>CAR-1156</t>
  </si>
  <si>
    <t>Well-maintained 2023 excellent condition Toyota Glanza V 1.2L DualJet AMT (AMT) in Pune. Powered by a 1197 cc petrol engine delivering 22.94 km/l. Complete service history available.</t>
  </si>
  <si>
    <t>CAR-1157</t>
  </si>
  <si>
    <t>Well-maintained 2018 fair condition Kia Seltos GTX+ 1.5L Turbo GDi DCT (DCT) in Coimbatore. Powered by a 1482 cc petrol engine delivering 17.9 km/l. Complete service history available.</t>
  </si>
  <si>
    <t>CAR-1158</t>
  </si>
  <si>
    <t>Well-maintained 2025 like new condition Kia Sonet GTX+ 1.5L CRDi AT (Automatic) in Kochi. Powered by a 1493 cc diesel engine delivering 18.6 km/l. Complete service history available.</t>
  </si>
  <si>
    <t>CAR-1159</t>
  </si>
  <si>
    <t>Well-maintained 2020 excellent condition Kia Carens Luxury Plus 1.5L Turbo DCT 7S (DCT) in Ahmedabad. Powered by a 1482 cc petrol engine delivering 16.8 km/l. Complete service history available.</t>
  </si>
  <si>
    <t>CAR-1160</t>
  </si>
  <si>
    <t>Well-maintained 2026 like new condition Kia EV6 GT Line AWD 77.4 kWh (Automatic) in Kolkata. Powered by a 77.4 kWh battery delivering 708 km certified range. Complete service history available.</t>
  </si>
  <si>
    <t>INDIAN CAR MARKETPLACE — BRAND-LEVEL SUMMARY REPORT</t>
  </si>
  <si>
    <t>Note: All summary statistics dynamically calculate from the 'Car Listings' worksheet (rows 2 to 161). All monetary values in INR (₹).</t>
  </si>
  <si>
    <t>Number of Listings</t>
  </si>
  <si>
    <t>Average Selling Price (INR)</t>
  </si>
  <si>
    <t>Minimum Price (INR)</t>
  </si>
  <si>
    <t>Maximum Price (INR)</t>
  </si>
  <si>
    <t>Total / Overall Market</t>
  </si>
  <si>
    <t>DATA DICTIONARY &amp; SYNTHETIC DATA DOCUMENTATION</t>
  </si>
  <si>
    <t>Limitations of Synthetic Data: Vehicle technical specs and safety ratings reflect verified manufacturer/NCAP reference data. Listing IDs, prices, odometer readings, and availability are synthetic samples for AI assistant testing. Interest rates and EMIs are illustrative estimates, not binding lender offers.</t>
  </si>
  <si>
    <t>Excel Col</t>
  </si>
  <si>
    <t>Column Name</t>
  </si>
  <si>
    <t>Section / Category</t>
  </si>
  <si>
    <t>Data Type</t>
  </si>
  <si>
    <t>Units / Format</t>
  </si>
  <si>
    <t>Data Nature</t>
  </si>
  <si>
    <t>Description &amp; Formula / Validation Rule</t>
  </si>
  <si>
    <t>Example Value</t>
  </si>
  <si>
    <t>A</t>
  </si>
  <si>
    <t>Basic Information</t>
  </si>
  <si>
    <t>String</t>
  </si>
  <si>
    <t>Alphanumeric ID</t>
  </si>
  <si>
    <t>Unique primary key identifier for each vehicle listing (CAR-1001 to CAR-1160).</t>
  </si>
  <si>
    <t>B</t>
  </si>
  <si>
    <t>Text</t>
  </si>
  <si>
    <t>Verified Spec</t>
  </si>
  <si>
    <t>Automobile manufacturer / OEM brand name in the Indian market.</t>
  </si>
  <si>
    <t>C</t>
  </si>
  <si>
    <t>Full commercial vehicle name combining Brand and Model.</t>
  </si>
  <si>
    <t>D</t>
  </si>
  <si>
    <t>Specific vehicle model line.</t>
  </si>
  <si>
    <t>E</t>
  </si>
  <si>
    <t>Manufacturer trim level and powertrain badge.</t>
  </si>
  <si>
    <t>F</t>
  </si>
  <si>
    <t>Integer</t>
  </si>
  <si>
    <t>Year (YYYY)</t>
  </si>
  <si>
    <t>Year the vehicle was manufactured (2015–2026).</t>
  </si>
  <si>
    <t>2024</t>
  </si>
  <si>
    <t>G</t>
  </si>
  <si>
    <t>Year the vehicle was registered with the RTO (&gt;= Manufacturing Year).</t>
  </si>
  <si>
    <t>H</t>
  </si>
  <si>
    <t>Categorical</t>
  </si>
  <si>
    <t>Dropdown</t>
  </si>
  <si>
    <t>Indicates whether the vehicle is a brand-new showroom unit or pre-owned.</t>
  </si>
  <si>
    <t>I</t>
  </si>
  <si>
    <t>Body style classification (Hatchback, Sedan, SUV, MUV, Luxury, Coupe).</t>
  </si>
  <si>
    <t>J</t>
  </si>
  <si>
    <t>Primary propulsion fuel/energy type (Petrol, Diesel, Electric, CNG, Hybrid).</t>
  </si>
  <si>
    <t>K</t>
  </si>
  <si>
    <t>Gearbox type (Manual, Automatic, AMT, CVT, DCT).</t>
  </si>
  <si>
    <t>L</t>
  </si>
  <si>
    <t>Count</t>
  </si>
  <si>
    <t>Number of previous registered owners (0 for New vehicles, 1–3 for Used).</t>
  </si>
  <si>
    <t>1</t>
  </si>
  <si>
    <t>M</t>
  </si>
  <si>
    <t>Pricing &amp; Finance</t>
  </si>
  <si>
    <t>Currency (Integer)</t>
  </si>
  <si>
    <t>INR (₹)</t>
  </si>
  <si>
    <t>Advertised listing price in Indian Rupees.</t>
  </si>
  <si>
    <t>1250000</t>
  </si>
  <si>
    <t>N</t>
  </si>
  <si>
    <t>Estimated / Spec</t>
  </si>
  <si>
    <t>Original manufacturer ex-showroom price when new in INR.</t>
  </si>
  <si>
    <t>1480000</t>
  </si>
  <si>
    <t>O</t>
  </si>
  <si>
    <t>Yes/No</t>
  </si>
  <si>
    <t>Whether the seller is open to price negotiation.</t>
  </si>
  <si>
    <t>P</t>
  </si>
  <si>
    <t>Seller reserve floor price in INR (equals Selling Price if not negotiable).</t>
  </si>
  <si>
    <t>1185000</t>
  </si>
  <si>
    <t>Q</t>
  </si>
  <si>
    <t>Upfront buyer down payment amount in INR (typically 20%–25%).</t>
  </si>
  <si>
    <t>250000</t>
  </si>
  <si>
    <t>R</t>
  </si>
  <si>
    <t>Formula (Currency)</t>
  </si>
  <si>
    <t>Excel Formula</t>
  </si>
  <si>
    <t>Calculated principal loan amount: =IF(V2="No",0,MAX(0,M2-Q2)).</t>
  </si>
  <si>
    <t>1000000</t>
  </si>
  <si>
    <t>S</t>
  </si>
  <si>
    <t>Decimal</t>
  </si>
  <si>
    <t>% p.a. (Illustrative)</t>
  </si>
  <si>
    <t>Illustrative Estimate</t>
  </si>
  <si>
    <t>Illustrative annual reducing-balance interest rate (not a binding lender offer).</t>
  </si>
  <si>
    <t>9.25</t>
  </si>
  <si>
    <t>T</t>
  </si>
  <si>
    <t>Months</t>
  </si>
  <si>
    <t>Loan repayment period in months (e.g., 36, 48, 60, 72, 84).</t>
  </si>
  <si>
    <t>60</t>
  </si>
  <si>
    <t>U</t>
  </si>
  <si>
    <t>INR/month (Illustrative)</t>
  </si>
  <si>
    <t>Illustrative monthly EMI via standard reducing-balance PMT formula.</t>
  </si>
  <si>
    <t>20880</t>
  </si>
  <si>
    <t>V</t>
  </si>
  <si>
    <t>Indicates whether the vehicle qualifies for auto financing.</t>
  </si>
  <si>
    <t>W</t>
  </si>
  <si>
    <t>Technical Specifications</t>
  </si>
  <si>
    <t>Integer (Nullable)</t>
  </si>
  <si>
    <t>cc</t>
  </si>
  <si>
    <t>Internal combustion engine displacement in cubic centimetres. Blank for EVs.</t>
  </si>
  <si>
    <t>1498</t>
  </si>
  <si>
    <t>X</t>
  </si>
  <si>
    <t>bhp</t>
  </si>
  <si>
    <t>Peak power output in brake horsepower.</t>
  </si>
  <si>
    <t>148</t>
  </si>
  <si>
    <t>Y</t>
  </si>
  <si>
    <t>Decimal (Nullable)</t>
  </si>
  <si>
    <t>km/l (km/kg for CNG)</t>
  </si>
  <si>
    <t>ARAI-certified fuel efficiency for ICE/Hybrid/CNG vehicles. Blank for EVs.</t>
  </si>
  <si>
    <t>19.62</t>
  </si>
  <si>
    <t>Z</t>
  </si>
  <si>
    <t>km/charge</t>
  </si>
  <si>
    <t>Certified single-charge driving range for Electric Vehicles only. Blank for ICE.</t>
  </si>
  <si>
    <t>489</t>
  </si>
  <si>
    <t>AA</t>
  </si>
  <si>
    <t>kWh</t>
  </si>
  <si>
    <t>High-voltage traction battery capacity for EVs only. Blank for ICE vehicles.</t>
  </si>
  <si>
    <t>45.0</t>
  </si>
  <si>
    <t>AB</t>
  </si>
  <si>
    <t>Persons</t>
  </si>
  <si>
    <t>Certified passenger seating capacity (5, 6, or 7).</t>
  </si>
  <si>
    <t>5</t>
  </si>
  <si>
    <t>AC</t>
  </si>
  <si>
    <t>Total number of doors including tailgate (4 for sedans, 5 for hatchbacks/SUVs).</t>
  </si>
  <si>
    <t>AD</t>
  </si>
  <si>
    <t>Litres</t>
  </si>
  <si>
    <t>Luggage trunk volume in litres.</t>
  </si>
  <si>
    <t>382</t>
  </si>
  <si>
    <t>AE</t>
  </si>
  <si>
    <t>String (Nullable)</t>
  </si>
  <si>
    <t>NCAP Stars</t>
  </si>
  <si>
    <t>Official Global NCAP, Bharat NCAP, Euro NCAP, or ASEAN NCAP rating where tested; blank otherwise.</t>
  </si>
  <si>
    <t>AF</t>
  </si>
  <si>
    <t>Number of supplemental restraint airbags fitted.</t>
  </si>
  <si>
    <t>6</t>
  </si>
  <si>
    <t>AG</t>
  </si>
  <si>
    <t>Anti-lock Braking System availability.</t>
  </si>
  <si>
    <t>AH</t>
  </si>
  <si>
    <t>Reverse parking camera availability.</t>
  </si>
  <si>
    <t>AI</t>
  </si>
  <si>
    <t>Ultrasonic parking assist sensors availability.</t>
  </si>
  <si>
    <t>AJ</t>
  </si>
  <si>
    <t>Condition &amp; Availability</t>
  </si>
  <si>
    <t>Body paint finish colour.</t>
  </si>
  <si>
    <t>AK</t>
  </si>
  <si>
    <t>Overall physical and mechanical grading (New, Like New, Excellent, Good, Fair).</t>
  </si>
  <si>
    <t>AL</t>
  </si>
  <si>
    <t>km</t>
  </si>
  <si>
    <t>Total distance driven in kilometres (highlighted if &gt; 80,000 km).</t>
  </si>
  <si>
    <t>34500</t>
  </si>
  <si>
    <t>AM</t>
  </si>
  <si>
    <t>Date</t>
  </si>
  <si>
    <t>YYYY-MM-DD</t>
  </si>
  <si>
    <t>Expiration date of current motor insurance policy.</t>
  </si>
  <si>
    <t>2027-06-15</t>
  </si>
  <si>
    <t>AN</t>
  </si>
  <si>
    <t>State Name</t>
  </si>
  <si>
    <t>Indian State / Union Territory of RTO registration.</t>
  </si>
  <si>
    <t>AO</t>
  </si>
  <si>
    <t>City where the vehicle is currently located for inspection.</t>
  </si>
  <si>
    <t>AP</t>
  </si>
  <si>
    <t>Current marketplace status (Available, Reserved, Sold).</t>
  </si>
  <si>
    <t>AQ</t>
  </si>
  <si>
    <t>Date the vehicle was listed on the marketplace.</t>
  </si>
  <si>
    <t>2026-10-12</t>
  </si>
  <si>
    <t>AR</t>
  </si>
  <si>
    <t>Type of seller offering the vehicle (Individual or Dealer).</t>
  </si>
  <si>
    <t>AS</t>
  </si>
  <si>
    <t>Whether documented OEM service logs are available.</t>
  </si>
  <si>
    <t>AT</t>
  </si>
  <si>
    <t>Whether standard or extended warranty coverage is active.</t>
  </si>
  <si>
    <t>AU</t>
  </si>
  <si>
    <t>Yes/No/Unknown</t>
  </si>
  <si>
    <t>Disclosure of any prior structural or major accident history.</t>
  </si>
  <si>
    <t>AV</t>
  </si>
  <si>
    <t>Additional Information</t>
  </si>
  <si>
    <t>Comma-separated list</t>
  </si>
  <si>
    <t>Notable comfort, infotainment, and safety highlights of the variant.</t>
  </si>
  <si>
    <t>Panoramic Sunroof, Level 2 ADAS, Bose Audio</t>
  </si>
  <si>
    <t>AW</t>
  </si>
  <si>
    <t>Text summary</t>
  </si>
  <si>
    <t>Natural-language listing summary for RAG / AI agent semantic search.</t>
  </si>
  <si>
    <t>Well-maintained 2024 Hyundai Creta...</t>
  </si>
  <si>
    <t>AX</t>
  </si>
  <si>
    <t>Persona tag</t>
  </si>
  <si>
    <t>Recommended target buyer persona (First-Time Buyer, Family, Daily Commuter, Enthusiast, Business).</t>
  </si>
  <si>
    <t>AY</t>
  </si>
  <si>
    <t>INR/year</t>
  </si>
  <si>
    <t>Estimated</t>
  </si>
  <si>
    <t>Estimated routine annual servicing and upkeep cost in INR.</t>
  </si>
  <si>
    <t>8500</t>
  </si>
  <si>
    <t>AZ</t>
  </si>
  <si>
    <t>Verified Source / Synthetic Sample</t>
  </si>
  <si>
    <t>Metadata</t>
  </si>
  <si>
    <t>Explicitly labels whether the listing row is a live verified listing or a synthetic sample.</t>
  </si>
  <si>
    <t>BA</t>
  </si>
  <si>
    <t>URL</t>
  </si>
  <si>
    <t>Left intentionally blank for Synthetic Sample rows to avoid inventing live URLs.</t>
  </si>
  <si>
    <t/>
  </si>
  <si>
    <t>INTERACTIVE AUTOMOBILE LOAN &amp; EMI CALCULATOR (REDUCING-BALANCE FORMULA)</t>
  </si>
  <si>
    <t>Disclaimer: Interest rates and monthly EMI values are illustrative estimates for AI assistant simulation and financial planning, not binding lender offers.</t>
  </si>
  <si>
    <t>Parameter / Metric</t>
  </si>
  <si>
    <t>Input / Calculated Value</t>
  </si>
  <si>
    <t>Unit &amp; Formula Explanation</t>
  </si>
  <si>
    <t>Notes</t>
  </si>
  <si>
    <t>Vehicle Selling Price (INR)</t>
  </si>
  <si>
    <t>INR (User Editable Input)</t>
  </si>
  <si>
    <t>Change this value to test</t>
  </si>
  <si>
    <t>Upfront margin paid by buyer</t>
  </si>
  <si>
    <t>Principal Loan Amount (INR)</t>
  </si>
  <si>
    <t>Formula: =MAX(0, B5-B6)</t>
  </si>
  <si>
    <t>Automatically updates</t>
  </si>
  <si>
    <t>Annual Interest Rate (% per annum)</t>
  </si>
  <si>
    <t>% per annum (User Editable Input)</t>
  </si>
  <si>
    <t>Set to 0 to verify zero-interest loan</t>
  </si>
  <si>
    <t>Months (User Editable Input)</t>
  </si>
  <si>
    <t>Standard tenures: 12 to 84 months</t>
  </si>
  <si>
    <t>Formula: =IF(OR(B7&lt;=0,B8&lt;0,B9&lt;=0),"",IF(B8=0,B7/B9,-PMT(B8/1200,B9,B7)))</t>
  </si>
  <si>
    <t>Illustrative Monthly Installment</t>
  </si>
  <si>
    <t>Total Amount Payable on Loan (INR)</t>
  </si>
  <si>
    <t>Formula: =IF(B10="","",B10*B9)</t>
  </si>
  <si>
    <t>Principal + Total Interest</t>
  </si>
  <si>
    <t>Total Interest Payable (INR)</t>
  </si>
  <si>
    <t>Formula: =IF(B11="","",MAX(0,B11-B7))</t>
  </si>
  <si>
    <t>Total cost of borrowing</t>
  </si>
  <si>
    <t>Total On-Road Outflow incl. Down Payment (INR)</t>
  </si>
  <si>
    <t>Formula: =IF(B11="","",B6+B11)</t>
  </si>
  <si>
    <t>Down Payment + Total EMIs</t>
  </si>
  <si>
    <t>Tenure Sensitivity Comparison (Months)</t>
  </si>
  <si>
    <t>Total Loan Repayment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</si>
</sst>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₹#,##0"/>
    <numFmt numFmtId="165" formatCode="0.0"/>
    <numFmt numFmtId="166" formatCode="#,##0&quot; Months&quot;"/>
  </numFmts>
  <fonts count="1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B45309"/>
      <sz val="10"/>
      <name val="Calibri"/>
    </font>
    <font>
      <b/>
      <color rgb="FF0369A1"/>
      <sz val="10"/>
      <name val="Calibri"/>
    </font>
    <font>
      <b/>
      <color rgb="FFFFFFFF"/>
      <sz val="14"/>
      <name val="Calibri"/>
    </font>
    <font>
      <i/>
      <color rgb="FF475569"/>
      <sz val="10"/>
      <name val="Calibri"/>
    </font>
    <font>
      <b/>
      <color rgb="FF0F172A"/>
      <sz val="11"/>
      <name val="Calibri"/>
    </font>
    <font>
      <i/>
      <color rgb="FF92400E"/>
      <sz val="10"/>
      <name val="Calibri"/>
    </font>
    <font>
      <b/>
      <color rgb="FFFFFFFF"/>
      <sz val="13"/>
      <name val="Calibri"/>
    </font>
    <font>
      <b/>
    </font>
    <font>
      <b/>
      <color rgb="FF1E3A8A"/>
    </font>
    <font>
      <b/>
      <color rgb="FF166534"/>
      <sz val="12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ECFDF5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5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334155"/>
      </top>
      <bottom style="double">
        <color rgb="FF33415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64" fontId="2" fillId="0" borderId="2" xfId="0" applyNumberFormat="1" applyFont="1" applyBorder="1"/>
    <xf numFmtId="2" fontId="2" fillId="0" borderId="2" xfId="0" applyNumberFormat="1" applyFont="1" applyBorder="1"/>
    <xf numFmtId="3" fontId="2" fillId="0" borderId="2" xfId="0" applyNumberFormat="1" applyFont="1" applyBorder="1"/>
    <xf numFmtId="165" fontId="2" fillId="0" borderId="2" xfId="0" applyNumberFormat="1" applyFont="1" applyBorder="1"/>
    <xf numFmtId="3" fontId="3" fillId="3" borderId="2" xfId="0" applyNumberFormat="1" applyFont="1" applyFill="1" applyBorder="1"/>
    <xf numFmtId="0" fontId="4" fillId="4" borderId="2" xfId="0" applyFont="1" applyFill="1" applyBorder="1"/>
    <xf numFmtId="0" fontId="2" fillId="5" borderId="2" xfId="0" applyFont="1" applyFill="1" applyBorder="1"/>
    <xf numFmtId="164" fontId="2" fillId="5" borderId="2" xfId="0" applyNumberFormat="1" applyFont="1" applyFill="1" applyBorder="1"/>
    <xf numFmtId="2" fontId="2" fillId="5" borderId="2" xfId="0" applyNumberFormat="1" applyFont="1" applyFill="1" applyBorder="1"/>
    <xf numFmtId="3" fontId="2" fillId="5" borderId="2" xfId="0" applyNumberFormat="1" applyFont="1" applyFill="1" applyBorder="1"/>
    <xf numFmtId="165" fontId="2" fillId="5" borderId="2" xfId="0" applyNumberFormat="1" applyFont="1" applyFill="1" applyBorder="1"/>
    <xf numFmtId="0" fontId="5" fillId="2" borderId="0" xfId="0" applyFont="1" applyFill="1" applyAlignment="1">
      <alignment horizontal="left" vertical="center" indent="1"/>
    </xf>
    <xf numFmtId="0" fontId="6" fillId="0" borderId="0" xfId="0" applyFont="1"/>
    <xf numFmtId="0" fontId="1" fillId="6" borderId="0" xfId="0" applyFont="1" applyFill="1" applyAlignment="1">
      <alignment horizontal="center" vertical="center"/>
    </xf>
    <xf numFmtId="0" fontId="2" fillId="0" borderId="3" xfId="0" applyFont="1" applyBorder="1"/>
    <xf numFmtId="3" fontId="2" fillId="0" borderId="3" xfId="0" applyNumberFormat="1" applyFont="1" applyBorder="1"/>
    <xf numFmtId="164" fontId="2" fillId="0" borderId="3" xfId="0" applyNumberFormat="1" applyFont="1" applyBorder="1"/>
    <xf numFmtId="0" fontId="7" fillId="7" borderId="4" xfId="0" applyFont="1" applyFill="1" applyBorder="1"/>
    <xf numFmtId="3" fontId="7" fillId="7" borderId="4" xfId="0" applyNumberFormat="1" applyFont="1" applyFill="1" applyBorder="1"/>
    <xf numFmtId="164" fontId="7" fillId="7" borderId="4" xfId="0" applyNumberFormat="1" applyFont="1" applyFill="1" applyBorder="1"/>
    <xf numFmtId="0" fontId="5" fillId="2" borderId="0" xfId="0" applyFont="1" applyFill="1"/>
    <xf numFmtId="0" fontId="8" fillId="3" borderId="0" xfId="0" applyFont="1" applyFill="1"/>
    <xf numFmtId="0" fontId="9" fillId="2" borderId="0" xfId="0" applyFont="1" applyFill="1"/>
    <xf numFmtId="0" fontId="1" fillId="6" borderId="0" xfId="0" applyFont="1" applyFill="1"/>
    <xf numFmtId="164" fontId="10" fillId="4" borderId="0" xfId="0" applyNumberFormat="1" applyFont="1" applyFill="1"/>
    <xf numFmtId="164" fontId="11" fillId="0" borderId="0" xfId="0" applyNumberFormat="1" applyFont="1"/>
    <xf numFmtId="2" fontId="10" fillId="4" borderId="0" xfId="0" applyNumberFormat="1" applyFont="1" applyFill="1"/>
    <xf numFmtId="3" fontId="10" fillId="4" borderId="0" xfId="0" applyNumberFormat="1" applyFont="1" applyFill="1"/>
    <xf numFmtId="164" fontId="12" fillId="8" borderId="0" xfId="0" applyNumberFormat="1" applyFont="1" applyFill="1"/>
    <xf numFmtId="164" fontId="0" fillId="0" borderId="0" xfId="0" applyNumberFormat="1"/>
    <xf numFmtId="164" fontId="10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ECFDF5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B45309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5" width="16" customWidth="1"/>
    <col min="6" max="6" width="23" customWidth="1"/>
    <col min="7" max="7" width="22" customWidth="1"/>
    <col min="8" max="8" width="16" customWidth="1"/>
    <col min="9" max="9" width="17" customWidth="1"/>
    <col min="10" max="10" width="16" customWidth="1"/>
    <col min="11" max="11" width="17" customWidth="1"/>
    <col min="12" max="12" width="21" customWidth="1"/>
    <col min="13" max="13" width="24" customWidth="1"/>
    <col min="14" max="14" width="37" customWidth="1"/>
    <col min="15" max="15" width="16" customWidth="1"/>
    <col min="16" max="16" width="33" customWidth="1"/>
    <col min="17" max="17" width="23" customWidth="1"/>
    <col min="18" max="18" width="22" customWidth="1"/>
    <col min="19" max="19" width="32" customWidth="1"/>
    <col min="20" max="20" width="24" customWidth="1"/>
    <col min="21" max="21" width="32" customWidth="1"/>
    <col min="22" max="22" width="18" customWidth="1"/>
    <col min="23" max="23" width="25" customWidth="1"/>
    <col min="24" max="24" width="24" customWidth="1"/>
    <col min="25" max="25" width="19" customWidth="1"/>
    <col min="26" max="26" width="34" customWidth="1"/>
    <col min="27" max="27" width="36" customWidth="1"/>
    <col min="28" max="28" width="21" customWidth="1"/>
    <col min="29" max="29" width="20" customWidth="1"/>
    <col min="30" max="30" width="24" customWidth="1"/>
    <col min="31" max="31" width="18" customWidth="1"/>
    <col min="32" max="34" width="16" customWidth="1"/>
    <col min="35" max="36" width="20" customWidth="1"/>
    <col min="37" max="37" width="22" customWidth="1"/>
    <col min="38" max="39" width="26" customWidth="1"/>
    <col min="40" max="40" width="23" customWidth="1"/>
    <col min="41" max="41" width="16" customWidth="1"/>
    <col min="42" max="42" width="24" customWidth="1"/>
    <col min="43" max="43" width="17" customWidth="1"/>
    <col min="44" max="44" width="16" customWidth="1"/>
    <col min="45" max="45" width="30" customWidth="1"/>
    <col min="46" max="46" width="23" customWidth="1"/>
    <col min="47" max="47" width="31" customWidth="1"/>
    <col min="48" max="49" width="42" customWidth="1"/>
    <col min="50" max="50" width="19" customWidth="1"/>
    <col min="51" max="51" width="44" customWidth="1"/>
    <col min="52" max="53" width="16" customWidth="1"/>
  </cols>
  <sheetData>
    <row r="1" ht="28" customHeight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0" customHeight="1" spans="1:53" x14ac:dyDescent="0.25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2018</v>
      </c>
      <c r="G2" s="2">
        <v>2019</v>
      </c>
      <c r="H2" s="2" t="s">
        <v>58</v>
      </c>
      <c r="I2" s="2" t="s">
        <v>59</v>
      </c>
      <c r="J2" s="2" t="s">
        <v>60</v>
      </c>
      <c r="K2" s="2" t="s">
        <v>61</v>
      </c>
      <c r="L2" s="2">
        <v>3</v>
      </c>
      <c r="M2" s="3">
        <v>295000</v>
      </c>
      <c r="N2" s="3">
        <v>720000</v>
      </c>
      <c r="O2" s="2" t="s">
        <v>62</v>
      </c>
      <c r="P2" s="3">
        <v>295000</v>
      </c>
      <c r="Q2" s="3">
        <v>75000</v>
      </c>
      <c r="R2" s="3">
        <f>IF(V2="No",0,MAX(0,M2-Q2))</f>
        <v>220000</v>
      </c>
      <c r="S2" s="4">
        <v>11.45</v>
      </c>
      <c r="T2" s="2">
        <v>36</v>
      </c>
      <c r="U2" s="3">
        <f>IF(OR(R2&lt;=0,S2&lt;0,T2&lt;=0),"",IF(S2=0,R2/T2,-PMT(S2/1200,T2,R2)))</f>
        <v>7249</v>
      </c>
      <c r="V2" s="2" t="s">
        <v>63</v>
      </c>
      <c r="W2" s="5">
        <v>1197</v>
      </c>
      <c r="X2" s="2">
        <v>89</v>
      </c>
      <c r="Y2" s="4">
        <v>22.38</v>
      </c>
      <c r="Z2" s="5"/>
      <c r="AA2" s="6"/>
      <c r="AB2" s="2">
        <v>5</v>
      </c>
      <c r="AC2" s="2">
        <v>5</v>
      </c>
      <c r="AD2" s="2">
        <v>268</v>
      </c>
      <c r="AE2" s="2"/>
      <c r="AF2" s="2">
        <v>6</v>
      </c>
      <c r="AG2" s="2" t="s">
        <v>63</v>
      </c>
      <c r="AH2" s="2" t="s">
        <v>63</v>
      </c>
      <c r="AI2" s="2" t="s">
        <v>63</v>
      </c>
      <c r="AJ2" s="2" t="s">
        <v>64</v>
      </c>
      <c r="AK2" s="2" t="s">
        <v>65</v>
      </c>
      <c r="AL2" s="7">
        <v>95500</v>
      </c>
      <c r="AM2" s="2" t="s">
        <v>66</v>
      </c>
      <c r="AN2" s="2" t="s">
        <v>67</v>
      </c>
      <c r="AO2" s="2" t="s">
        <v>68</v>
      </c>
      <c r="AP2" s="2" t="s">
        <v>69</v>
      </c>
      <c r="AQ2" s="2" t="s">
        <v>70</v>
      </c>
      <c r="AR2" s="2" t="s">
        <v>71</v>
      </c>
      <c r="AS2" s="2" t="s">
        <v>62</v>
      </c>
      <c r="AT2" s="2" t="s">
        <v>62</v>
      </c>
      <c r="AU2" s="2" t="s">
        <v>72</v>
      </c>
      <c r="AV2" s="2" t="s">
        <v>73</v>
      </c>
      <c r="AW2" s="2" t="s">
        <v>74</v>
      </c>
      <c r="AX2" s="2" t="s">
        <v>75</v>
      </c>
      <c r="AY2" s="3">
        <v>8600</v>
      </c>
      <c r="AZ2" s="2" t="s">
        <v>76</v>
      </c>
      <c r="BA2" s="2"/>
    </row>
    <row r="3" ht="20" customHeight="1" spans="1:53" x14ac:dyDescent="0.25">
      <c r="A3" s="2" t="s">
        <v>77</v>
      </c>
      <c r="B3" s="2" t="s">
        <v>54</v>
      </c>
      <c r="C3" s="2" t="s">
        <v>78</v>
      </c>
      <c r="D3" s="2" t="s">
        <v>79</v>
      </c>
      <c r="E3" s="2" t="s">
        <v>80</v>
      </c>
      <c r="F3" s="2">
        <v>2025</v>
      </c>
      <c r="G3" s="2">
        <v>2025</v>
      </c>
      <c r="H3" s="2" t="s">
        <v>58</v>
      </c>
      <c r="I3" s="2" t="s">
        <v>59</v>
      </c>
      <c r="J3" s="2" t="s">
        <v>60</v>
      </c>
      <c r="K3" s="2" t="s">
        <v>81</v>
      </c>
      <c r="L3" s="2">
        <v>1</v>
      </c>
      <c r="M3" s="3">
        <v>875000</v>
      </c>
      <c r="N3" s="3">
        <v>965000</v>
      </c>
      <c r="O3" s="8" t="s">
        <v>63</v>
      </c>
      <c r="P3" s="3">
        <v>830000</v>
      </c>
      <c r="Q3" s="3">
        <v>220000</v>
      </c>
      <c r="R3" s="3">
        <f>IF(V3="No",0,MAX(0,M3-Q3))</f>
        <v>655000</v>
      </c>
      <c r="S3" s="4">
        <v>10.4</v>
      </c>
      <c r="T3" s="2">
        <v>48</v>
      </c>
      <c r="U3" s="3">
        <f>IF(OR(R3&lt;=0,S3&lt;0,T3&lt;=0),"",IF(S3=0,R3/T3,-PMT(S3/1200,T3,R3)))</f>
        <v>16739</v>
      </c>
      <c r="V3" s="2" t="s">
        <v>63</v>
      </c>
      <c r="W3" s="5">
        <v>1197</v>
      </c>
      <c r="X3" s="2">
        <v>89</v>
      </c>
      <c r="Y3" s="4">
        <v>22.94</v>
      </c>
      <c r="Z3" s="5"/>
      <c r="AA3" s="6"/>
      <c r="AB3" s="2">
        <v>5</v>
      </c>
      <c r="AC3" s="2">
        <v>5</v>
      </c>
      <c r="AD3" s="2">
        <v>318</v>
      </c>
      <c r="AE3" s="2" t="s">
        <v>82</v>
      </c>
      <c r="AF3" s="2">
        <v>6</v>
      </c>
      <c r="AG3" s="2" t="s">
        <v>63</v>
      </c>
      <c r="AH3" s="2" t="s">
        <v>63</v>
      </c>
      <c r="AI3" s="2" t="s">
        <v>63</v>
      </c>
      <c r="AJ3" s="2" t="s">
        <v>83</v>
      </c>
      <c r="AK3" s="2" t="s">
        <v>84</v>
      </c>
      <c r="AL3" s="5">
        <v>10200</v>
      </c>
      <c r="AM3" s="2" t="s">
        <v>85</v>
      </c>
      <c r="AN3" s="2" t="s">
        <v>86</v>
      </c>
      <c r="AO3" s="2" t="s">
        <v>87</v>
      </c>
      <c r="AP3" s="2" t="s">
        <v>69</v>
      </c>
      <c r="AQ3" s="2" t="s">
        <v>88</v>
      </c>
      <c r="AR3" s="2" t="s">
        <v>89</v>
      </c>
      <c r="AS3" s="2" t="s">
        <v>63</v>
      </c>
      <c r="AT3" s="2" t="s">
        <v>63</v>
      </c>
      <c r="AU3" s="2" t="s">
        <v>62</v>
      </c>
      <c r="AV3" s="2" t="s">
        <v>90</v>
      </c>
      <c r="AW3" s="2" t="s">
        <v>91</v>
      </c>
      <c r="AX3" s="2" t="s">
        <v>92</v>
      </c>
      <c r="AY3" s="3">
        <v>7100</v>
      </c>
      <c r="AZ3" s="2" t="s">
        <v>76</v>
      </c>
      <c r="BA3" s="2"/>
    </row>
    <row r="4" ht="20" customHeight="1" spans="1:53" x14ac:dyDescent="0.25">
      <c r="A4" s="2" t="s">
        <v>93</v>
      </c>
      <c r="B4" s="2" t="s">
        <v>54</v>
      </c>
      <c r="C4" s="2" t="s">
        <v>94</v>
      </c>
      <c r="D4" s="2" t="s">
        <v>95</v>
      </c>
      <c r="E4" s="2" t="s">
        <v>96</v>
      </c>
      <c r="F4" s="2">
        <v>2020</v>
      </c>
      <c r="G4" s="2">
        <v>2020</v>
      </c>
      <c r="H4" s="2" t="s">
        <v>58</v>
      </c>
      <c r="I4" s="2" t="s">
        <v>97</v>
      </c>
      <c r="J4" s="2" t="s">
        <v>60</v>
      </c>
      <c r="K4" s="2" t="s">
        <v>98</v>
      </c>
      <c r="L4" s="2">
        <v>1</v>
      </c>
      <c r="M4" s="3">
        <v>655000</v>
      </c>
      <c r="N4" s="3">
        <v>1190000</v>
      </c>
      <c r="O4" s="8" t="s">
        <v>63</v>
      </c>
      <c r="P4" s="3">
        <v>630000</v>
      </c>
      <c r="Q4" s="3">
        <v>165000</v>
      </c>
      <c r="R4" s="3">
        <f>IF(V4="No",0,MAX(0,M4-Q4))</f>
        <v>490000</v>
      </c>
      <c r="S4" s="4">
        <v>11.15</v>
      </c>
      <c r="T4" s="2">
        <v>60</v>
      </c>
      <c r="U4" s="3">
        <f>IF(OR(R4&lt;=0,S4&lt;0,T4&lt;=0),"",IF(S4=0,R4/T4,-PMT(S4/1200,T4,R4)))</f>
        <v>10690</v>
      </c>
      <c r="V4" s="2" t="s">
        <v>63</v>
      </c>
      <c r="W4" s="5">
        <v>1462</v>
      </c>
      <c r="X4" s="2">
        <v>102</v>
      </c>
      <c r="Y4" s="4">
        <v>19.8</v>
      </c>
      <c r="Z4" s="5"/>
      <c r="AA4" s="6"/>
      <c r="AB4" s="2">
        <v>5</v>
      </c>
      <c r="AC4" s="2">
        <v>5</v>
      </c>
      <c r="AD4" s="2">
        <v>328</v>
      </c>
      <c r="AE4" s="2" t="s">
        <v>99</v>
      </c>
      <c r="AF4" s="2">
        <v>6</v>
      </c>
      <c r="AG4" s="2" t="s">
        <v>63</v>
      </c>
      <c r="AH4" s="2" t="s">
        <v>63</v>
      </c>
      <c r="AI4" s="2" t="s">
        <v>63</v>
      </c>
      <c r="AJ4" s="2" t="s">
        <v>100</v>
      </c>
      <c r="AK4" s="2" t="s">
        <v>101</v>
      </c>
      <c r="AL4" s="5">
        <v>54300</v>
      </c>
      <c r="AM4" s="2" t="s">
        <v>102</v>
      </c>
      <c r="AN4" s="2" t="s">
        <v>103</v>
      </c>
      <c r="AO4" s="2" t="s">
        <v>104</v>
      </c>
      <c r="AP4" s="2" t="s">
        <v>69</v>
      </c>
      <c r="AQ4" s="2" t="s">
        <v>105</v>
      </c>
      <c r="AR4" s="2" t="s">
        <v>89</v>
      </c>
      <c r="AS4" s="2" t="s">
        <v>63</v>
      </c>
      <c r="AT4" s="2" t="s">
        <v>62</v>
      </c>
      <c r="AU4" s="2" t="s">
        <v>62</v>
      </c>
      <c r="AV4" s="2" t="s">
        <v>106</v>
      </c>
      <c r="AW4" s="2" t="s">
        <v>107</v>
      </c>
      <c r="AX4" s="2" t="s">
        <v>92</v>
      </c>
      <c r="AY4" s="3">
        <v>10200</v>
      </c>
      <c r="AZ4" s="2" t="s">
        <v>76</v>
      </c>
      <c r="BA4" s="2"/>
    </row>
    <row r="5" ht="20" customHeight="1" spans="1:53" x14ac:dyDescent="0.25">
      <c r="A5" s="2" t="s">
        <v>108</v>
      </c>
      <c r="B5" s="2" t="s">
        <v>54</v>
      </c>
      <c r="C5" s="2" t="s">
        <v>109</v>
      </c>
      <c r="D5" s="2" t="s">
        <v>110</v>
      </c>
      <c r="E5" s="2" t="s">
        <v>111</v>
      </c>
      <c r="F5" s="2">
        <v>2015</v>
      </c>
      <c r="G5" s="2">
        <v>2015</v>
      </c>
      <c r="H5" s="2" t="s">
        <v>58</v>
      </c>
      <c r="I5" s="2" t="s">
        <v>59</v>
      </c>
      <c r="J5" s="2" t="s">
        <v>112</v>
      </c>
      <c r="K5" s="2" t="s">
        <v>61</v>
      </c>
      <c r="L5" s="2">
        <v>2</v>
      </c>
      <c r="M5" s="3">
        <v>150000</v>
      </c>
      <c r="N5" s="3">
        <v>500000</v>
      </c>
      <c r="O5" s="2" t="s">
        <v>62</v>
      </c>
      <c r="P5" s="3">
        <v>150000</v>
      </c>
      <c r="Q5" s="3">
        <v>40000</v>
      </c>
      <c r="R5" s="3">
        <f>IF(V5="No",0,MAX(0,M5-Q5))</f>
        <v>0</v>
      </c>
      <c r="S5" s="4">
        <v>0</v>
      </c>
      <c r="T5" s="2">
        <v>0</v>
      </c>
      <c r="U5" s="3" t="str">
        <f>IF(OR(R5&lt;=0,S5&lt;0,T5&lt;=0),"",IF(S5=0,R5/T5,-PMT(S5/1200,T5,R5)))</f>
        <v/>
      </c>
      <c r="V5" s="2" t="s">
        <v>62</v>
      </c>
      <c r="W5" s="5">
        <v>998</v>
      </c>
      <c r="X5" s="2">
        <v>56</v>
      </c>
      <c r="Y5" s="4">
        <v>33.47</v>
      </c>
      <c r="Z5" s="5"/>
      <c r="AA5" s="6"/>
      <c r="AB5" s="2">
        <v>5</v>
      </c>
      <c r="AC5" s="2">
        <v>5</v>
      </c>
      <c r="AD5" s="2">
        <v>341</v>
      </c>
      <c r="AE5" s="2"/>
      <c r="AF5" s="2">
        <v>2</v>
      </c>
      <c r="AG5" s="2" t="s">
        <v>63</v>
      </c>
      <c r="AH5" s="2" t="s">
        <v>62</v>
      </c>
      <c r="AI5" s="2" t="s">
        <v>63</v>
      </c>
      <c r="AJ5" s="2" t="s">
        <v>113</v>
      </c>
      <c r="AK5" s="2" t="s">
        <v>65</v>
      </c>
      <c r="AL5" s="7">
        <v>139700</v>
      </c>
      <c r="AM5" s="2" t="s">
        <v>114</v>
      </c>
      <c r="AN5" s="2" t="s">
        <v>115</v>
      </c>
      <c r="AO5" s="2" t="s">
        <v>116</v>
      </c>
      <c r="AP5" s="2" t="s">
        <v>69</v>
      </c>
      <c r="AQ5" s="2" t="s">
        <v>117</v>
      </c>
      <c r="AR5" s="2" t="s">
        <v>71</v>
      </c>
      <c r="AS5" s="2" t="s">
        <v>63</v>
      </c>
      <c r="AT5" s="2" t="s">
        <v>62</v>
      </c>
      <c r="AU5" s="2" t="s">
        <v>62</v>
      </c>
      <c r="AV5" s="2" t="s">
        <v>118</v>
      </c>
      <c r="AW5" s="2" t="s">
        <v>119</v>
      </c>
      <c r="AX5" s="2" t="s">
        <v>120</v>
      </c>
      <c r="AY5" s="3">
        <v>7900</v>
      </c>
      <c r="AZ5" s="2" t="s">
        <v>76</v>
      </c>
      <c r="BA5" s="2"/>
    </row>
    <row r="6" ht="20" customHeight="1" spans="1:53" x14ac:dyDescent="0.25">
      <c r="A6" s="2" t="s">
        <v>121</v>
      </c>
      <c r="B6" s="2" t="s">
        <v>54</v>
      </c>
      <c r="C6" s="2" t="s">
        <v>122</v>
      </c>
      <c r="D6" s="2" t="s">
        <v>123</v>
      </c>
      <c r="E6" s="2" t="s">
        <v>124</v>
      </c>
      <c r="F6" s="2">
        <v>2022</v>
      </c>
      <c r="G6" s="2">
        <v>2022</v>
      </c>
      <c r="H6" s="2" t="s">
        <v>58</v>
      </c>
      <c r="I6" s="2" t="s">
        <v>125</v>
      </c>
      <c r="J6" s="2" t="s">
        <v>112</v>
      </c>
      <c r="K6" s="2" t="s">
        <v>61</v>
      </c>
      <c r="L6" s="2">
        <v>1</v>
      </c>
      <c r="M6" s="3">
        <v>720000</v>
      </c>
      <c r="N6" s="3">
        <v>1070000</v>
      </c>
      <c r="O6" s="8" t="s">
        <v>63</v>
      </c>
      <c r="P6" s="3">
        <v>685000</v>
      </c>
      <c r="Q6" s="3">
        <v>180000</v>
      </c>
      <c r="R6" s="3">
        <f>IF(V6="No",0,MAX(0,M6-Q6))</f>
        <v>540000</v>
      </c>
      <c r="S6" s="4">
        <v>10.85</v>
      </c>
      <c r="T6" s="2">
        <v>48</v>
      </c>
      <c r="U6" s="3">
        <f>IF(OR(R6&lt;=0,S6&lt;0,T6&lt;=0),"",IF(S6=0,R6/T6,-PMT(S6/1200,T6,R6)))</f>
        <v>13917</v>
      </c>
      <c r="V6" s="2" t="s">
        <v>63</v>
      </c>
      <c r="W6" s="5">
        <v>1462</v>
      </c>
      <c r="X6" s="2">
        <v>87</v>
      </c>
      <c r="Y6" s="4">
        <v>26.11</v>
      </c>
      <c r="Z6" s="5"/>
      <c r="AA6" s="6"/>
      <c r="AB6" s="2">
        <v>7</v>
      </c>
      <c r="AC6" s="2">
        <v>5</v>
      </c>
      <c r="AD6" s="2">
        <v>209</v>
      </c>
      <c r="AE6" s="2"/>
      <c r="AF6" s="2">
        <v>4</v>
      </c>
      <c r="AG6" s="2" t="s">
        <v>63</v>
      </c>
      <c r="AH6" s="2" t="s">
        <v>63</v>
      </c>
      <c r="AI6" s="2" t="s">
        <v>63</v>
      </c>
      <c r="AJ6" s="2" t="s">
        <v>64</v>
      </c>
      <c r="AK6" s="2" t="s">
        <v>101</v>
      </c>
      <c r="AL6" s="5">
        <v>56700</v>
      </c>
      <c r="AM6" s="2" t="s">
        <v>126</v>
      </c>
      <c r="AN6" s="2" t="s">
        <v>127</v>
      </c>
      <c r="AO6" s="2" t="s">
        <v>127</v>
      </c>
      <c r="AP6" s="2" t="s">
        <v>128</v>
      </c>
      <c r="AQ6" s="2" t="s">
        <v>129</v>
      </c>
      <c r="AR6" s="2" t="s">
        <v>89</v>
      </c>
      <c r="AS6" s="2" t="s">
        <v>63</v>
      </c>
      <c r="AT6" s="2" t="s">
        <v>63</v>
      </c>
      <c r="AU6" s="2" t="s">
        <v>62</v>
      </c>
      <c r="AV6" s="2" t="s">
        <v>130</v>
      </c>
      <c r="AW6" s="2" t="s">
        <v>131</v>
      </c>
      <c r="AX6" s="2" t="s">
        <v>92</v>
      </c>
      <c r="AY6" s="3">
        <v>9000</v>
      </c>
      <c r="AZ6" s="2" t="s">
        <v>76</v>
      </c>
      <c r="BA6" s="2"/>
    </row>
    <row r="7" ht="20" customHeight="1" spans="1:53" x14ac:dyDescent="0.25">
      <c r="A7" s="2" t="s">
        <v>132</v>
      </c>
      <c r="B7" s="2" t="s">
        <v>54</v>
      </c>
      <c r="C7" s="2" t="s">
        <v>133</v>
      </c>
      <c r="D7" s="2" t="s">
        <v>134</v>
      </c>
      <c r="E7" s="2" t="s">
        <v>135</v>
      </c>
      <c r="F7" s="2">
        <v>2024</v>
      </c>
      <c r="G7" s="2">
        <v>2025</v>
      </c>
      <c r="H7" s="2" t="s">
        <v>58</v>
      </c>
      <c r="I7" s="2" t="s">
        <v>97</v>
      </c>
      <c r="J7" s="2" t="s">
        <v>136</v>
      </c>
      <c r="K7" s="2" t="s">
        <v>137</v>
      </c>
      <c r="L7" s="2">
        <v>1</v>
      </c>
      <c r="M7" s="3">
        <v>1555000</v>
      </c>
      <c r="N7" s="3">
        <v>1900000</v>
      </c>
      <c r="O7" s="8" t="s">
        <v>63</v>
      </c>
      <c r="P7" s="3">
        <v>1495000</v>
      </c>
      <c r="Q7" s="3">
        <v>390000</v>
      </c>
      <c r="R7" s="3">
        <f>IF(V7="No",0,MAX(0,M7-Q7))</f>
        <v>1165000</v>
      </c>
      <c r="S7" s="4">
        <v>10.55</v>
      </c>
      <c r="T7" s="2">
        <v>60</v>
      </c>
      <c r="U7" s="3">
        <f>IF(OR(R7&lt;=0,S7&lt;0,T7&lt;=0),"",IF(S7=0,R7/T7,-PMT(S7/1200,T7,R7)))</f>
        <v>25069</v>
      </c>
      <c r="V7" s="2" t="s">
        <v>63</v>
      </c>
      <c r="W7" s="5">
        <v>1490</v>
      </c>
      <c r="X7" s="2">
        <v>114</v>
      </c>
      <c r="Y7" s="4">
        <v>27.97</v>
      </c>
      <c r="Z7" s="5"/>
      <c r="AA7" s="6"/>
      <c r="AB7" s="2">
        <v>5</v>
      </c>
      <c r="AC7" s="2">
        <v>5</v>
      </c>
      <c r="AD7" s="2">
        <v>265</v>
      </c>
      <c r="AE7" s="2" t="s">
        <v>138</v>
      </c>
      <c r="AF7" s="2">
        <v>6</v>
      </c>
      <c r="AG7" s="2" t="s">
        <v>63</v>
      </c>
      <c r="AH7" s="2" t="s">
        <v>63</v>
      </c>
      <c r="AI7" s="2" t="s">
        <v>63</v>
      </c>
      <c r="AJ7" s="2" t="s">
        <v>83</v>
      </c>
      <c r="AK7" s="2" t="s">
        <v>84</v>
      </c>
      <c r="AL7" s="5">
        <v>23200</v>
      </c>
      <c r="AM7" s="2" t="s">
        <v>139</v>
      </c>
      <c r="AN7" s="2" t="s">
        <v>115</v>
      </c>
      <c r="AO7" s="2" t="s">
        <v>140</v>
      </c>
      <c r="AP7" s="2" t="s">
        <v>141</v>
      </c>
      <c r="AQ7" s="2" t="s">
        <v>142</v>
      </c>
      <c r="AR7" s="2" t="s">
        <v>89</v>
      </c>
      <c r="AS7" s="2" t="s">
        <v>63</v>
      </c>
      <c r="AT7" s="2" t="s">
        <v>63</v>
      </c>
      <c r="AU7" s="2" t="s">
        <v>62</v>
      </c>
      <c r="AV7" s="2" t="s">
        <v>143</v>
      </c>
      <c r="AW7" s="2" t="s">
        <v>144</v>
      </c>
      <c r="AX7" s="2" t="s">
        <v>92</v>
      </c>
      <c r="AY7" s="3">
        <v>9900</v>
      </c>
      <c r="AZ7" s="2" t="s">
        <v>76</v>
      </c>
      <c r="BA7" s="2"/>
    </row>
    <row r="8" ht="20" customHeight="1" spans="1:53" x14ac:dyDescent="0.25">
      <c r="A8" s="2" t="s">
        <v>145</v>
      </c>
      <c r="B8" s="2" t="s">
        <v>54</v>
      </c>
      <c r="C8" s="2" t="s">
        <v>146</v>
      </c>
      <c r="D8" s="2" t="s">
        <v>147</v>
      </c>
      <c r="E8" s="2" t="s">
        <v>148</v>
      </c>
      <c r="F8" s="2">
        <v>2024</v>
      </c>
      <c r="G8" s="2">
        <v>2024</v>
      </c>
      <c r="H8" s="2" t="s">
        <v>58</v>
      </c>
      <c r="I8" s="2" t="s">
        <v>149</v>
      </c>
      <c r="J8" s="2" t="s">
        <v>60</v>
      </c>
      <c r="K8" s="2" t="s">
        <v>81</v>
      </c>
      <c r="L8" s="2">
        <v>1</v>
      </c>
      <c r="M8" s="3">
        <v>790000</v>
      </c>
      <c r="N8" s="3">
        <v>965000</v>
      </c>
      <c r="O8" s="2" t="s">
        <v>62</v>
      </c>
      <c r="P8" s="3">
        <v>790000</v>
      </c>
      <c r="Q8" s="3">
        <v>200000</v>
      </c>
      <c r="R8" s="3">
        <f>IF(V8="No",0,MAX(0,M8-Q8))</f>
        <v>590000</v>
      </c>
      <c r="S8" s="4">
        <v>10.55</v>
      </c>
      <c r="T8" s="2">
        <v>36</v>
      </c>
      <c r="U8" s="3">
        <f>IF(OR(R8&lt;=0,S8&lt;0,T8&lt;=0),"",IF(S8=0,R8/T8,-PMT(S8/1200,T8,R8)))</f>
        <v>19190</v>
      </c>
      <c r="V8" s="2" t="s">
        <v>63</v>
      </c>
      <c r="W8" s="5">
        <v>1197</v>
      </c>
      <c r="X8" s="2">
        <v>80</v>
      </c>
      <c r="Y8" s="4">
        <v>25.71</v>
      </c>
      <c r="Z8" s="5"/>
      <c r="AA8" s="6"/>
      <c r="AB8" s="2">
        <v>5</v>
      </c>
      <c r="AC8" s="2">
        <v>4</v>
      </c>
      <c r="AD8" s="2">
        <v>382</v>
      </c>
      <c r="AE8" s="2" t="s">
        <v>150</v>
      </c>
      <c r="AF8" s="2">
        <v>6</v>
      </c>
      <c r="AG8" s="2" t="s">
        <v>63</v>
      </c>
      <c r="AH8" s="2" t="s">
        <v>63</v>
      </c>
      <c r="AI8" s="2" t="s">
        <v>63</v>
      </c>
      <c r="AJ8" s="2" t="s">
        <v>100</v>
      </c>
      <c r="AK8" s="2" t="s">
        <v>84</v>
      </c>
      <c r="AL8" s="5">
        <v>21500</v>
      </c>
      <c r="AM8" s="2" t="s">
        <v>151</v>
      </c>
      <c r="AN8" s="2" t="s">
        <v>67</v>
      </c>
      <c r="AO8" s="2" t="s">
        <v>152</v>
      </c>
      <c r="AP8" s="2" t="s">
        <v>69</v>
      </c>
      <c r="AQ8" s="2" t="s">
        <v>153</v>
      </c>
      <c r="AR8" s="2" t="s">
        <v>71</v>
      </c>
      <c r="AS8" s="2" t="s">
        <v>63</v>
      </c>
      <c r="AT8" s="2" t="s">
        <v>63</v>
      </c>
      <c r="AU8" s="2" t="s">
        <v>62</v>
      </c>
      <c r="AV8" s="2" t="s">
        <v>154</v>
      </c>
      <c r="AW8" s="2" t="s">
        <v>155</v>
      </c>
      <c r="AX8" s="2" t="s">
        <v>92</v>
      </c>
      <c r="AY8" s="3">
        <v>7100</v>
      </c>
      <c r="AZ8" s="2" t="s">
        <v>76</v>
      </c>
      <c r="BA8" s="2"/>
    </row>
    <row r="9" ht="20" customHeight="1" spans="1:53" x14ac:dyDescent="0.25">
      <c r="A9" s="2" t="s">
        <v>156</v>
      </c>
      <c r="B9" s="2" t="s">
        <v>157</v>
      </c>
      <c r="C9" s="2" t="s">
        <v>158</v>
      </c>
      <c r="D9" s="2" t="s">
        <v>159</v>
      </c>
      <c r="E9" s="2" t="s">
        <v>160</v>
      </c>
      <c r="F9" s="2">
        <v>2019</v>
      </c>
      <c r="G9" s="2">
        <v>2019</v>
      </c>
      <c r="H9" s="2" t="s">
        <v>58</v>
      </c>
      <c r="I9" s="2" t="s">
        <v>97</v>
      </c>
      <c r="J9" s="2" t="s">
        <v>60</v>
      </c>
      <c r="K9" s="2" t="s">
        <v>161</v>
      </c>
      <c r="L9" s="2">
        <v>1</v>
      </c>
      <c r="M9" s="3">
        <v>825000</v>
      </c>
      <c r="N9" s="3">
        <v>1660000</v>
      </c>
      <c r="O9" s="8" t="s">
        <v>63</v>
      </c>
      <c r="P9" s="3">
        <v>785000</v>
      </c>
      <c r="Q9" s="3">
        <v>205000</v>
      </c>
      <c r="R9" s="3">
        <f>IF(V9="No",0,MAX(0,M9-Q9))</f>
        <v>620000</v>
      </c>
      <c r="S9" s="4">
        <v>11.3</v>
      </c>
      <c r="T9" s="2">
        <v>48</v>
      </c>
      <c r="U9" s="3">
        <f>IF(OR(R9&lt;=0,S9&lt;0,T9&lt;=0),"",IF(S9=0,R9/T9,-PMT(S9/1200,T9,R9)))</f>
        <v>16115</v>
      </c>
      <c r="V9" s="2" t="s">
        <v>63</v>
      </c>
      <c r="W9" s="5">
        <v>1482</v>
      </c>
      <c r="X9" s="2">
        <v>158</v>
      </c>
      <c r="Y9" s="4">
        <v>18.4</v>
      </c>
      <c r="Z9" s="5"/>
      <c r="AA9" s="6"/>
      <c r="AB9" s="2">
        <v>5</v>
      </c>
      <c r="AC9" s="2">
        <v>5</v>
      </c>
      <c r="AD9" s="2">
        <v>433</v>
      </c>
      <c r="AE9" s="2"/>
      <c r="AF9" s="2">
        <v>6</v>
      </c>
      <c r="AG9" s="2" t="s">
        <v>63</v>
      </c>
      <c r="AH9" s="2" t="s">
        <v>63</v>
      </c>
      <c r="AI9" s="2" t="s">
        <v>63</v>
      </c>
      <c r="AJ9" s="2" t="s">
        <v>113</v>
      </c>
      <c r="AK9" s="2" t="s">
        <v>162</v>
      </c>
      <c r="AL9" s="5">
        <v>68500</v>
      </c>
      <c r="AM9" s="2" t="s">
        <v>163</v>
      </c>
      <c r="AN9" s="2" t="s">
        <v>164</v>
      </c>
      <c r="AO9" s="2" t="s">
        <v>165</v>
      </c>
      <c r="AP9" s="2" t="s">
        <v>69</v>
      </c>
      <c r="AQ9" s="2" t="s">
        <v>166</v>
      </c>
      <c r="AR9" s="2" t="s">
        <v>89</v>
      </c>
      <c r="AS9" s="2" t="s">
        <v>62</v>
      </c>
      <c r="AT9" s="2" t="s">
        <v>62</v>
      </c>
      <c r="AU9" s="2" t="s">
        <v>62</v>
      </c>
      <c r="AV9" s="2" t="s">
        <v>167</v>
      </c>
      <c r="AW9" s="2" t="s">
        <v>168</v>
      </c>
      <c r="AX9" s="2" t="s">
        <v>92</v>
      </c>
      <c r="AY9" s="3">
        <v>12500</v>
      </c>
      <c r="AZ9" s="2" t="s">
        <v>76</v>
      </c>
      <c r="BA9" s="2"/>
    </row>
    <row r="10" ht="20" customHeight="1" spans="1:53" x14ac:dyDescent="0.25">
      <c r="A10" s="2" t="s">
        <v>169</v>
      </c>
      <c r="B10" s="2" t="s">
        <v>157</v>
      </c>
      <c r="C10" s="2" t="s">
        <v>158</v>
      </c>
      <c r="D10" s="2" t="s">
        <v>159</v>
      </c>
      <c r="E10" s="2" t="s">
        <v>170</v>
      </c>
      <c r="F10" s="2">
        <v>2026</v>
      </c>
      <c r="G10" s="2">
        <v>2026</v>
      </c>
      <c r="H10" s="2" t="s">
        <v>171</v>
      </c>
      <c r="I10" s="2" t="s">
        <v>97</v>
      </c>
      <c r="J10" s="2" t="s">
        <v>172</v>
      </c>
      <c r="K10" s="2" t="s">
        <v>98</v>
      </c>
      <c r="L10" s="2">
        <v>0</v>
      </c>
      <c r="M10" s="3">
        <v>1910000</v>
      </c>
      <c r="N10" s="3">
        <v>1910000</v>
      </c>
      <c r="O10" s="8" t="s">
        <v>63</v>
      </c>
      <c r="P10" s="3">
        <v>1835000</v>
      </c>
      <c r="Q10" s="3">
        <v>380000</v>
      </c>
      <c r="R10" s="3">
        <f>IF(V10="No",0,MAX(0,M10-Q10))</f>
        <v>1530000</v>
      </c>
      <c r="S10" s="4">
        <v>8.95</v>
      </c>
      <c r="T10" s="2">
        <v>84</v>
      </c>
      <c r="U10" s="3">
        <f>IF(OR(R10&lt;=0,S10&lt;0,T10&lt;=0),"",IF(S10=0,R10/T10,-PMT(S10/1200,T10,R10)))</f>
        <v>24577</v>
      </c>
      <c r="V10" s="2" t="s">
        <v>63</v>
      </c>
      <c r="W10" s="5">
        <v>1493</v>
      </c>
      <c r="X10" s="2">
        <v>114</v>
      </c>
      <c r="Y10" s="4">
        <v>19.1</v>
      </c>
      <c r="Z10" s="5"/>
      <c r="AA10" s="6"/>
      <c r="AB10" s="2">
        <v>5</v>
      </c>
      <c r="AC10" s="2">
        <v>5</v>
      </c>
      <c r="AD10" s="2">
        <v>433</v>
      </c>
      <c r="AE10" s="2"/>
      <c r="AF10" s="2">
        <v>6</v>
      </c>
      <c r="AG10" s="2" t="s">
        <v>63</v>
      </c>
      <c r="AH10" s="2" t="s">
        <v>63</v>
      </c>
      <c r="AI10" s="2" t="s">
        <v>63</v>
      </c>
      <c r="AJ10" s="2" t="s">
        <v>64</v>
      </c>
      <c r="AK10" s="2" t="s">
        <v>171</v>
      </c>
      <c r="AL10" s="5">
        <v>23</v>
      </c>
      <c r="AM10" s="2" t="s">
        <v>173</v>
      </c>
      <c r="AN10" s="2" t="s">
        <v>174</v>
      </c>
      <c r="AO10" s="2" t="s">
        <v>175</v>
      </c>
      <c r="AP10" s="2" t="s">
        <v>69</v>
      </c>
      <c r="AQ10" s="2" t="s">
        <v>176</v>
      </c>
      <c r="AR10" s="2" t="s">
        <v>89</v>
      </c>
      <c r="AS10" s="2" t="s">
        <v>63</v>
      </c>
      <c r="AT10" s="2" t="s">
        <v>63</v>
      </c>
      <c r="AU10" s="2" t="s">
        <v>62</v>
      </c>
      <c r="AV10" s="2" t="s">
        <v>177</v>
      </c>
      <c r="AW10" s="2" t="s">
        <v>178</v>
      </c>
      <c r="AX10" s="2" t="s">
        <v>92</v>
      </c>
      <c r="AY10" s="3">
        <v>10500</v>
      </c>
      <c r="AZ10" s="2" t="s">
        <v>76</v>
      </c>
      <c r="BA10" s="2"/>
    </row>
    <row r="11" ht="20" customHeight="1" spans="1:53" x14ac:dyDescent="0.25">
      <c r="A11" s="2" t="s">
        <v>179</v>
      </c>
      <c r="B11" s="2" t="s">
        <v>157</v>
      </c>
      <c r="C11" s="2" t="s">
        <v>180</v>
      </c>
      <c r="D11" s="2" t="s">
        <v>181</v>
      </c>
      <c r="E11" s="2" t="s">
        <v>182</v>
      </c>
      <c r="F11" s="2">
        <v>2021</v>
      </c>
      <c r="G11" s="2">
        <v>2021</v>
      </c>
      <c r="H11" s="2" t="s">
        <v>58</v>
      </c>
      <c r="I11" s="2" t="s">
        <v>59</v>
      </c>
      <c r="J11" s="2" t="s">
        <v>60</v>
      </c>
      <c r="K11" s="2" t="s">
        <v>137</v>
      </c>
      <c r="L11" s="2">
        <v>2</v>
      </c>
      <c r="M11" s="3">
        <v>595000</v>
      </c>
      <c r="N11" s="3">
        <v>980000</v>
      </c>
      <c r="O11" s="2" t="s">
        <v>62</v>
      </c>
      <c r="P11" s="3">
        <v>595000</v>
      </c>
      <c r="Q11" s="3">
        <v>150000</v>
      </c>
      <c r="R11" s="3">
        <f>IF(V11="No",0,MAX(0,M11-Q11))</f>
        <v>445000</v>
      </c>
      <c r="S11" s="4">
        <v>11</v>
      </c>
      <c r="T11" s="2">
        <v>36</v>
      </c>
      <c r="U11" s="3">
        <f>IF(OR(R11&lt;=0,S11&lt;0,T11&lt;=0),"",IF(S11=0,R11/T11,-PMT(S11/1200,T11,R11)))</f>
        <v>14569</v>
      </c>
      <c r="V11" s="2" t="s">
        <v>63</v>
      </c>
      <c r="W11" s="5">
        <v>1197</v>
      </c>
      <c r="X11" s="2">
        <v>87</v>
      </c>
      <c r="Y11" s="4">
        <v>19.65</v>
      </c>
      <c r="Z11" s="5"/>
      <c r="AA11" s="6"/>
      <c r="AB11" s="2">
        <v>5</v>
      </c>
      <c r="AC11" s="2">
        <v>5</v>
      </c>
      <c r="AD11" s="2">
        <v>311</v>
      </c>
      <c r="AE11" s="2" t="s">
        <v>183</v>
      </c>
      <c r="AF11" s="2">
        <v>6</v>
      </c>
      <c r="AG11" s="2" t="s">
        <v>63</v>
      </c>
      <c r="AH11" s="2" t="s">
        <v>63</v>
      </c>
      <c r="AI11" s="2" t="s">
        <v>63</v>
      </c>
      <c r="AJ11" s="2" t="s">
        <v>83</v>
      </c>
      <c r="AK11" s="2" t="s">
        <v>101</v>
      </c>
      <c r="AL11" s="5">
        <v>50200</v>
      </c>
      <c r="AM11" s="2" t="s">
        <v>184</v>
      </c>
      <c r="AN11" s="2" t="s">
        <v>185</v>
      </c>
      <c r="AO11" s="2" t="s">
        <v>186</v>
      </c>
      <c r="AP11" s="2" t="s">
        <v>69</v>
      </c>
      <c r="AQ11" s="2" t="s">
        <v>187</v>
      </c>
      <c r="AR11" s="2" t="s">
        <v>71</v>
      </c>
      <c r="AS11" s="2" t="s">
        <v>63</v>
      </c>
      <c r="AT11" s="2" t="s">
        <v>62</v>
      </c>
      <c r="AU11" s="2" t="s">
        <v>62</v>
      </c>
      <c r="AV11" s="2" t="s">
        <v>188</v>
      </c>
      <c r="AW11" s="2" t="s">
        <v>189</v>
      </c>
      <c r="AX11" s="2" t="s">
        <v>75</v>
      </c>
      <c r="AY11" s="3">
        <v>8900</v>
      </c>
      <c r="AZ11" s="2" t="s">
        <v>76</v>
      </c>
      <c r="BA11" s="2"/>
    </row>
    <row r="12" ht="20" customHeight="1" spans="1:53" x14ac:dyDescent="0.25">
      <c r="A12" s="2" t="s">
        <v>190</v>
      </c>
      <c r="B12" s="2" t="s">
        <v>157</v>
      </c>
      <c r="C12" s="2" t="s">
        <v>191</v>
      </c>
      <c r="D12" s="2" t="s">
        <v>192</v>
      </c>
      <c r="E12" s="2" t="s">
        <v>160</v>
      </c>
      <c r="F12" s="2">
        <v>2016</v>
      </c>
      <c r="G12" s="2">
        <v>2017</v>
      </c>
      <c r="H12" s="2" t="s">
        <v>58</v>
      </c>
      <c r="I12" s="2" t="s">
        <v>149</v>
      </c>
      <c r="J12" s="2" t="s">
        <v>60</v>
      </c>
      <c r="K12" s="2" t="s">
        <v>161</v>
      </c>
      <c r="L12" s="2">
        <v>2</v>
      </c>
      <c r="M12" s="3">
        <v>480000</v>
      </c>
      <c r="N12" s="3">
        <v>1305000</v>
      </c>
      <c r="O12" s="8" t="s">
        <v>63</v>
      </c>
      <c r="P12" s="3">
        <v>455000</v>
      </c>
      <c r="Q12" s="3">
        <v>120000</v>
      </c>
      <c r="R12" s="3">
        <f>IF(V12="No",0,MAX(0,M12-Q12))</f>
        <v>360000</v>
      </c>
      <c r="S12" s="4">
        <v>11.75</v>
      </c>
      <c r="T12" s="2">
        <v>48</v>
      </c>
      <c r="U12" s="3">
        <f>IF(OR(R12&lt;=0,S12&lt;0,T12&lt;=0),"",IF(S12=0,R12/T12,-PMT(S12/1200,T12,R12)))</f>
        <v>9436</v>
      </c>
      <c r="V12" s="2" t="s">
        <v>63</v>
      </c>
      <c r="W12" s="5">
        <v>1482</v>
      </c>
      <c r="X12" s="2">
        <v>158</v>
      </c>
      <c r="Y12" s="4">
        <v>20.6</v>
      </c>
      <c r="Z12" s="5"/>
      <c r="AA12" s="6"/>
      <c r="AB12" s="2">
        <v>5</v>
      </c>
      <c r="AC12" s="2">
        <v>4</v>
      </c>
      <c r="AD12" s="2">
        <v>528</v>
      </c>
      <c r="AE12" s="2" t="s">
        <v>150</v>
      </c>
      <c r="AF12" s="2">
        <v>6</v>
      </c>
      <c r="AG12" s="2" t="s">
        <v>63</v>
      </c>
      <c r="AH12" s="2" t="s">
        <v>63</v>
      </c>
      <c r="AI12" s="2" t="s">
        <v>63</v>
      </c>
      <c r="AJ12" s="2" t="s">
        <v>100</v>
      </c>
      <c r="AK12" s="2" t="s">
        <v>162</v>
      </c>
      <c r="AL12" s="5">
        <v>76700</v>
      </c>
      <c r="AM12" s="2" t="s">
        <v>193</v>
      </c>
      <c r="AN12" s="2" t="s">
        <v>67</v>
      </c>
      <c r="AO12" s="2" t="s">
        <v>68</v>
      </c>
      <c r="AP12" s="2" t="s">
        <v>128</v>
      </c>
      <c r="AQ12" s="2" t="s">
        <v>194</v>
      </c>
      <c r="AR12" s="2" t="s">
        <v>89</v>
      </c>
      <c r="AS12" s="2" t="s">
        <v>63</v>
      </c>
      <c r="AT12" s="2" t="s">
        <v>62</v>
      </c>
      <c r="AU12" s="2" t="s">
        <v>62</v>
      </c>
      <c r="AV12" s="2" t="s">
        <v>195</v>
      </c>
      <c r="AW12" s="2" t="s">
        <v>196</v>
      </c>
      <c r="AX12" s="2" t="s">
        <v>197</v>
      </c>
      <c r="AY12" s="3">
        <v>12700</v>
      </c>
      <c r="AZ12" s="2" t="s">
        <v>76</v>
      </c>
      <c r="BA12" s="2"/>
    </row>
    <row r="13" ht="20" customHeight="1" spans="1:53" x14ac:dyDescent="0.25">
      <c r="A13" s="2" t="s">
        <v>198</v>
      </c>
      <c r="B13" s="2" t="s">
        <v>157</v>
      </c>
      <c r="C13" s="2" t="s">
        <v>199</v>
      </c>
      <c r="D13" s="2" t="s">
        <v>200</v>
      </c>
      <c r="E13" s="2" t="s">
        <v>201</v>
      </c>
      <c r="F13" s="2">
        <v>2023</v>
      </c>
      <c r="G13" s="2">
        <v>2023</v>
      </c>
      <c r="H13" s="2" t="s">
        <v>58</v>
      </c>
      <c r="I13" s="2" t="s">
        <v>97</v>
      </c>
      <c r="J13" s="2" t="s">
        <v>60</v>
      </c>
      <c r="K13" s="2" t="s">
        <v>161</v>
      </c>
      <c r="L13" s="2">
        <v>1</v>
      </c>
      <c r="M13" s="3">
        <v>925000</v>
      </c>
      <c r="N13" s="3">
        <v>1245000</v>
      </c>
      <c r="O13" s="8" t="s">
        <v>63</v>
      </c>
      <c r="P13" s="3">
        <v>890000</v>
      </c>
      <c r="Q13" s="3">
        <v>230000</v>
      </c>
      <c r="R13" s="3">
        <f>IF(V13="No",0,MAX(0,M13-Q13))</f>
        <v>695000</v>
      </c>
      <c r="S13" s="4">
        <v>10.7</v>
      </c>
      <c r="T13" s="2">
        <v>60</v>
      </c>
      <c r="U13" s="3">
        <f>IF(OR(R13&lt;=0,S13&lt;0,T13&lt;=0),"",IF(S13=0,R13/T13,-PMT(S13/1200,T13,R13)))</f>
        <v>15007</v>
      </c>
      <c r="V13" s="2" t="s">
        <v>63</v>
      </c>
      <c r="W13" s="5">
        <v>998</v>
      </c>
      <c r="X13" s="2">
        <v>118</v>
      </c>
      <c r="Y13" s="4">
        <v>18.31</v>
      </c>
      <c r="Z13" s="5"/>
      <c r="AA13" s="6"/>
      <c r="AB13" s="2">
        <v>5</v>
      </c>
      <c r="AC13" s="2">
        <v>5</v>
      </c>
      <c r="AD13" s="2">
        <v>350</v>
      </c>
      <c r="AE13" s="2"/>
      <c r="AF13" s="2">
        <v>6</v>
      </c>
      <c r="AG13" s="2" t="s">
        <v>63</v>
      </c>
      <c r="AH13" s="2" t="s">
        <v>63</v>
      </c>
      <c r="AI13" s="2" t="s">
        <v>63</v>
      </c>
      <c r="AJ13" s="2" t="s">
        <v>113</v>
      </c>
      <c r="AK13" s="2" t="s">
        <v>101</v>
      </c>
      <c r="AL13" s="5">
        <v>28800</v>
      </c>
      <c r="AM13" s="2" t="s">
        <v>202</v>
      </c>
      <c r="AN13" s="2" t="s">
        <v>86</v>
      </c>
      <c r="AO13" s="2" t="s">
        <v>87</v>
      </c>
      <c r="AP13" s="2" t="s">
        <v>141</v>
      </c>
      <c r="AQ13" s="2" t="s">
        <v>203</v>
      </c>
      <c r="AR13" s="2" t="s">
        <v>89</v>
      </c>
      <c r="AS13" s="2" t="s">
        <v>63</v>
      </c>
      <c r="AT13" s="2" t="s">
        <v>63</v>
      </c>
      <c r="AU13" s="2" t="s">
        <v>62</v>
      </c>
      <c r="AV13" s="2" t="s">
        <v>204</v>
      </c>
      <c r="AW13" s="2" t="s">
        <v>205</v>
      </c>
      <c r="AX13" s="2" t="s">
        <v>75</v>
      </c>
      <c r="AY13" s="3">
        <v>9000</v>
      </c>
      <c r="AZ13" s="2" t="s">
        <v>76</v>
      </c>
      <c r="BA13" s="2"/>
    </row>
    <row r="14" ht="20" customHeight="1" spans="1:53" x14ac:dyDescent="0.25">
      <c r="A14" s="9" t="s">
        <v>206</v>
      </c>
      <c r="B14" s="9" t="s">
        <v>157</v>
      </c>
      <c r="C14" s="9" t="s">
        <v>207</v>
      </c>
      <c r="D14" s="9" t="s">
        <v>208</v>
      </c>
      <c r="E14" s="9" t="s">
        <v>209</v>
      </c>
      <c r="F14" s="9">
        <v>2023</v>
      </c>
      <c r="G14" s="9">
        <v>2023</v>
      </c>
      <c r="H14" s="9" t="s">
        <v>58</v>
      </c>
      <c r="I14" s="9" t="s">
        <v>97</v>
      </c>
      <c r="J14" s="9" t="s">
        <v>210</v>
      </c>
      <c r="K14" s="9" t="s">
        <v>98</v>
      </c>
      <c r="L14" s="9">
        <v>1</v>
      </c>
      <c r="M14" s="10">
        <v>3160000</v>
      </c>
      <c r="N14" s="10">
        <v>4260000</v>
      </c>
      <c r="O14" s="9" t="s">
        <v>62</v>
      </c>
      <c r="P14" s="10">
        <v>3160000</v>
      </c>
      <c r="Q14" s="10">
        <v>790000</v>
      </c>
      <c r="R14" s="10">
        <f>IF(V14="No",0,MAX(0,M14-Q14))</f>
        <v>2370000</v>
      </c>
      <c r="S14" s="11">
        <v>10.7</v>
      </c>
      <c r="T14" s="9">
        <v>36</v>
      </c>
      <c r="U14" s="10">
        <f>IF(OR(R14&lt;=0,S14&lt;0,T14&lt;=0),"",IF(S14=0,R14/T14,-PMT(S14/1200,T14,R14)))</f>
        <v>77254</v>
      </c>
      <c r="V14" s="9" t="s">
        <v>63</v>
      </c>
      <c r="W14" s="12"/>
      <c r="X14" s="9">
        <v>215</v>
      </c>
      <c r="Y14" s="11"/>
      <c r="Z14" s="12">
        <v>631</v>
      </c>
      <c r="AA14" s="13">
        <v>72.6</v>
      </c>
      <c r="AB14" s="9">
        <v>5</v>
      </c>
      <c r="AC14" s="9">
        <v>5</v>
      </c>
      <c r="AD14" s="9">
        <v>527</v>
      </c>
      <c r="AE14" s="9" t="s">
        <v>211</v>
      </c>
      <c r="AF14" s="9">
        <v>6</v>
      </c>
      <c r="AG14" s="9" t="s">
        <v>63</v>
      </c>
      <c r="AH14" s="9" t="s">
        <v>63</v>
      </c>
      <c r="AI14" s="9" t="s">
        <v>63</v>
      </c>
      <c r="AJ14" s="9" t="s">
        <v>64</v>
      </c>
      <c r="AK14" s="9" t="s">
        <v>84</v>
      </c>
      <c r="AL14" s="12">
        <v>26900</v>
      </c>
      <c r="AM14" s="9" t="s">
        <v>212</v>
      </c>
      <c r="AN14" s="9" t="s">
        <v>103</v>
      </c>
      <c r="AO14" s="9" t="s">
        <v>104</v>
      </c>
      <c r="AP14" s="9" t="s">
        <v>69</v>
      </c>
      <c r="AQ14" s="9" t="s">
        <v>213</v>
      </c>
      <c r="AR14" s="9" t="s">
        <v>71</v>
      </c>
      <c r="AS14" s="9" t="s">
        <v>63</v>
      </c>
      <c r="AT14" s="9" t="s">
        <v>63</v>
      </c>
      <c r="AU14" s="9" t="s">
        <v>62</v>
      </c>
      <c r="AV14" s="9" t="s">
        <v>214</v>
      </c>
      <c r="AW14" s="9" t="s">
        <v>215</v>
      </c>
      <c r="AX14" s="9" t="s">
        <v>197</v>
      </c>
      <c r="AY14" s="10">
        <v>6900</v>
      </c>
      <c r="AZ14" s="9" t="s">
        <v>76</v>
      </c>
      <c r="BA14" s="9"/>
    </row>
    <row r="15" ht="20" customHeight="1" spans="1:53" x14ac:dyDescent="0.25">
      <c r="A15" s="2" t="s">
        <v>216</v>
      </c>
      <c r="B15" s="2" t="s">
        <v>157</v>
      </c>
      <c r="C15" s="2" t="s">
        <v>217</v>
      </c>
      <c r="D15" s="2" t="s">
        <v>218</v>
      </c>
      <c r="E15" s="2" t="s">
        <v>219</v>
      </c>
      <c r="F15" s="2">
        <v>2025</v>
      </c>
      <c r="G15" s="2">
        <v>2025</v>
      </c>
      <c r="H15" s="2" t="s">
        <v>58</v>
      </c>
      <c r="I15" s="2" t="s">
        <v>59</v>
      </c>
      <c r="J15" s="2" t="s">
        <v>112</v>
      </c>
      <c r="K15" s="2" t="s">
        <v>61</v>
      </c>
      <c r="L15" s="2">
        <v>1</v>
      </c>
      <c r="M15" s="3">
        <v>735000</v>
      </c>
      <c r="N15" s="3">
        <v>810000</v>
      </c>
      <c r="O15" s="8" t="s">
        <v>63</v>
      </c>
      <c r="P15" s="3">
        <v>700000</v>
      </c>
      <c r="Q15" s="3">
        <v>185000</v>
      </c>
      <c r="R15" s="3">
        <f>IF(V15="No",0,MAX(0,M15-Q15))</f>
        <v>550000</v>
      </c>
      <c r="S15" s="4">
        <v>10.4</v>
      </c>
      <c r="T15" s="2">
        <v>48</v>
      </c>
      <c r="U15" s="3">
        <f>IF(OR(R15&lt;=0,S15&lt;0,T15&lt;=0),"",IF(S15=0,R15/T15,-PMT(S15/1200,T15,R15)))</f>
        <v>14055</v>
      </c>
      <c r="V15" s="2" t="s">
        <v>63</v>
      </c>
      <c r="W15" s="5">
        <v>1197</v>
      </c>
      <c r="X15" s="2">
        <v>68</v>
      </c>
      <c r="Y15" s="4">
        <v>27.3</v>
      </c>
      <c r="Z15" s="5"/>
      <c r="AA15" s="6"/>
      <c r="AB15" s="2">
        <v>5</v>
      </c>
      <c r="AC15" s="2">
        <v>5</v>
      </c>
      <c r="AD15" s="2">
        <v>240</v>
      </c>
      <c r="AE15" s="2"/>
      <c r="AF15" s="2">
        <v>6</v>
      </c>
      <c r="AG15" s="2" t="s">
        <v>63</v>
      </c>
      <c r="AH15" s="2" t="s">
        <v>63</v>
      </c>
      <c r="AI15" s="2" t="s">
        <v>63</v>
      </c>
      <c r="AJ15" s="2" t="s">
        <v>83</v>
      </c>
      <c r="AK15" s="2" t="s">
        <v>84</v>
      </c>
      <c r="AL15" s="5">
        <v>12400</v>
      </c>
      <c r="AM15" s="2" t="s">
        <v>220</v>
      </c>
      <c r="AN15" s="2" t="s">
        <v>115</v>
      </c>
      <c r="AO15" s="2" t="s">
        <v>116</v>
      </c>
      <c r="AP15" s="2" t="s">
        <v>69</v>
      </c>
      <c r="AQ15" s="2" t="s">
        <v>221</v>
      </c>
      <c r="AR15" s="2" t="s">
        <v>89</v>
      </c>
      <c r="AS15" s="2" t="s">
        <v>63</v>
      </c>
      <c r="AT15" s="2" t="s">
        <v>63</v>
      </c>
      <c r="AU15" s="2" t="s">
        <v>62</v>
      </c>
      <c r="AV15" s="2" t="s">
        <v>222</v>
      </c>
      <c r="AW15" s="2" t="s">
        <v>223</v>
      </c>
      <c r="AX15" s="2" t="s">
        <v>120</v>
      </c>
      <c r="AY15" s="3">
        <v>6400</v>
      </c>
      <c r="AZ15" s="2" t="s">
        <v>76</v>
      </c>
      <c r="BA15" s="2"/>
    </row>
    <row r="16" ht="20" customHeight="1" spans="1:53" x14ac:dyDescent="0.25">
      <c r="A16" s="2" t="s">
        <v>224</v>
      </c>
      <c r="B16" s="2" t="s">
        <v>225</v>
      </c>
      <c r="C16" s="2" t="s">
        <v>226</v>
      </c>
      <c r="D16" s="2" t="s">
        <v>227</v>
      </c>
      <c r="E16" s="2" t="s">
        <v>228</v>
      </c>
      <c r="F16" s="2">
        <v>2020</v>
      </c>
      <c r="G16" s="2">
        <v>2020</v>
      </c>
      <c r="H16" s="2" t="s">
        <v>58</v>
      </c>
      <c r="I16" s="2" t="s">
        <v>97</v>
      </c>
      <c r="J16" s="2" t="s">
        <v>60</v>
      </c>
      <c r="K16" s="2" t="s">
        <v>161</v>
      </c>
      <c r="L16" s="2">
        <v>1</v>
      </c>
      <c r="M16" s="3">
        <v>690000</v>
      </c>
      <c r="N16" s="3">
        <v>1260000</v>
      </c>
      <c r="O16" s="8" t="s">
        <v>63</v>
      </c>
      <c r="P16" s="3">
        <v>660000</v>
      </c>
      <c r="Q16" s="3">
        <v>175000</v>
      </c>
      <c r="R16" s="3">
        <f>IF(V16="No",0,MAX(0,M16-Q16))</f>
        <v>515000</v>
      </c>
      <c r="S16" s="4">
        <v>11.15</v>
      </c>
      <c r="T16" s="2">
        <v>60</v>
      </c>
      <c r="U16" s="3">
        <f>IF(OR(R16&lt;=0,S16&lt;0,T16&lt;=0),"",IF(S16=0,R16/T16,-PMT(S16/1200,T16,R16)))</f>
        <v>11236</v>
      </c>
      <c r="V16" s="2" t="s">
        <v>63</v>
      </c>
      <c r="W16" s="5">
        <v>1199</v>
      </c>
      <c r="X16" s="2">
        <v>118</v>
      </c>
      <c r="Y16" s="4">
        <v>17.01</v>
      </c>
      <c r="Z16" s="5"/>
      <c r="AA16" s="6"/>
      <c r="AB16" s="2">
        <v>5</v>
      </c>
      <c r="AC16" s="2">
        <v>5</v>
      </c>
      <c r="AD16" s="2">
        <v>382</v>
      </c>
      <c r="AE16" s="2" t="s">
        <v>229</v>
      </c>
      <c r="AF16" s="2">
        <v>6</v>
      </c>
      <c r="AG16" s="2" t="s">
        <v>63</v>
      </c>
      <c r="AH16" s="2" t="s">
        <v>63</v>
      </c>
      <c r="AI16" s="2" t="s">
        <v>63</v>
      </c>
      <c r="AJ16" s="2" t="s">
        <v>100</v>
      </c>
      <c r="AK16" s="2" t="s">
        <v>101</v>
      </c>
      <c r="AL16" s="5">
        <v>60500</v>
      </c>
      <c r="AM16" s="2" t="s">
        <v>230</v>
      </c>
      <c r="AN16" s="2" t="s">
        <v>127</v>
      </c>
      <c r="AO16" s="2" t="s">
        <v>127</v>
      </c>
      <c r="AP16" s="2" t="s">
        <v>69</v>
      </c>
      <c r="AQ16" s="2" t="s">
        <v>231</v>
      </c>
      <c r="AR16" s="2" t="s">
        <v>89</v>
      </c>
      <c r="AS16" s="2" t="s">
        <v>62</v>
      </c>
      <c r="AT16" s="2" t="s">
        <v>62</v>
      </c>
      <c r="AU16" s="2" t="s">
        <v>62</v>
      </c>
      <c r="AV16" s="2" t="s">
        <v>232</v>
      </c>
      <c r="AW16" s="2" t="s">
        <v>233</v>
      </c>
      <c r="AX16" s="2" t="s">
        <v>92</v>
      </c>
      <c r="AY16" s="3">
        <v>10500</v>
      </c>
      <c r="AZ16" s="2" t="s">
        <v>76</v>
      </c>
      <c r="BA16" s="2"/>
    </row>
    <row r="17" ht="20" customHeight="1" spans="1:53" x14ac:dyDescent="0.25">
      <c r="A17" s="9" t="s">
        <v>234</v>
      </c>
      <c r="B17" s="9" t="s">
        <v>225</v>
      </c>
      <c r="C17" s="9" t="s">
        <v>235</v>
      </c>
      <c r="D17" s="9" t="s">
        <v>236</v>
      </c>
      <c r="E17" s="9" t="s">
        <v>237</v>
      </c>
      <c r="F17" s="9">
        <v>2024</v>
      </c>
      <c r="G17" s="9">
        <v>2025</v>
      </c>
      <c r="H17" s="9" t="s">
        <v>58</v>
      </c>
      <c r="I17" s="9" t="s">
        <v>97</v>
      </c>
      <c r="J17" s="9" t="s">
        <v>210</v>
      </c>
      <c r="K17" s="9" t="s">
        <v>98</v>
      </c>
      <c r="L17" s="9">
        <v>1</v>
      </c>
      <c r="M17" s="10">
        <v>1325000</v>
      </c>
      <c r="N17" s="10">
        <v>1615000</v>
      </c>
      <c r="O17" s="9" t="s">
        <v>62</v>
      </c>
      <c r="P17" s="10">
        <v>1325000</v>
      </c>
      <c r="Q17" s="10">
        <v>330000</v>
      </c>
      <c r="R17" s="10">
        <f>IF(V17="No",0,MAX(0,M17-Q17))</f>
        <v>995000</v>
      </c>
      <c r="S17" s="11">
        <v>10.55</v>
      </c>
      <c r="T17" s="9">
        <v>36</v>
      </c>
      <c r="U17" s="10">
        <f>IF(OR(R17&lt;=0,S17&lt;0,T17&lt;=0),"",IF(S17=0,R17/T17,-PMT(S17/1200,T17,R17)))</f>
        <v>32363</v>
      </c>
      <c r="V17" s="9" t="s">
        <v>63</v>
      </c>
      <c r="W17" s="12"/>
      <c r="X17" s="9">
        <v>142</v>
      </c>
      <c r="Y17" s="11"/>
      <c r="Z17" s="12">
        <v>489</v>
      </c>
      <c r="AA17" s="13">
        <v>45</v>
      </c>
      <c r="AB17" s="9">
        <v>5</v>
      </c>
      <c r="AC17" s="9">
        <v>5</v>
      </c>
      <c r="AD17" s="9">
        <v>350</v>
      </c>
      <c r="AE17" s="9" t="s">
        <v>138</v>
      </c>
      <c r="AF17" s="9">
        <v>6</v>
      </c>
      <c r="AG17" s="9" t="s">
        <v>63</v>
      </c>
      <c r="AH17" s="9" t="s">
        <v>63</v>
      </c>
      <c r="AI17" s="9" t="s">
        <v>63</v>
      </c>
      <c r="AJ17" s="9" t="s">
        <v>113</v>
      </c>
      <c r="AK17" s="9" t="s">
        <v>84</v>
      </c>
      <c r="AL17" s="12">
        <v>18300</v>
      </c>
      <c r="AM17" s="9" t="s">
        <v>238</v>
      </c>
      <c r="AN17" s="9" t="s">
        <v>115</v>
      </c>
      <c r="AO17" s="9" t="s">
        <v>140</v>
      </c>
      <c r="AP17" s="9" t="s">
        <v>69</v>
      </c>
      <c r="AQ17" s="9" t="s">
        <v>239</v>
      </c>
      <c r="AR17" s="9" t="s">
        <v>71</v>
      </c>
      <c r="AS17" s="9" t="s">
        <v>63</v>
      </c>
      <c r="AT17" s="9" t="s">
        <v>63</v>
      </c>
      <c r="AU17" s="9" t="s">
        <v>72</v>
      </c>
      <c r="AV17" s="9" t="s">
        <v>240</v>
      </c>
      <c r="AW17" s="9" t="s">
        <v>241</v>
      </c>
      <c r="AX17" s="9" t="s">
        <v>75</v>
      </c>
      <c r="AY17" s="10">
        <v>5200</v>
      </c>
      <c r="AZ17" s="9" t="s">
        <v>76</v>
      </c>
      <c r="BA17" s="9"/>
    </row>
    <row r="18" ht="20" customHeight="1" spans="1:53" x14ac:dyDescent="0.25">
      <c r="A18" s="2" t="s">
        <v>242</v>
      </c>
      <c r="B18" s="2" t="s">
        <v>225</v>
      </c>
      <c r="C18" s="2" t="s">
        <v>243</v>
      </c>
      <c r="D18" s="2" t="s">
        <v>244</v>
      </c>
      <c r="E18" s="2" t="s">
        <v>245</v>
      </c>
      <c r="F18" s="2">
        <v>2022</v>
      </c>
      <c r="G18" s="2">
        <v>2022</v>
      </c>
      <c r="H18" s="2" t="s">
        <v>58</v>
      </c>
      <c r="I18" s="2" t="s">
        <v>97</v>
      </c>
      <c r="J18" s="2" t="s">
        <v>112</v>
      </c>
      <c r="K18" s="2" t="s">
        <v>61</v>
      </c>
      <c r="L18" s="2">
        <v>1</v>
      </c>
      <c r="M18" s="3">
        <v>595000</v>
      </c>
      <c r="N18" s="3">
        <v>885000</v>
      </c>
      <c r="O18" s="8" t="s">
        <v>63</v>
      </c>
      <c r="P18" s="3">
        <v>565000</v>
      </c>
      <c r="Q18" s="3">
        <v>150000</v>
      </c>
      <c r="R18" s="3">
        <f>IF(V18="No",0,MAX(0,M18-Q18))</f>
        <v>445000</v>
      </c>
      <c r="S18" s="4">
        <v>10.85</v>
      </c>
      <c r="T18" s="2">
        <v>48</v>
      </c>
      <c r="U18" s="3">
        <f>IF(OR(R18&lt;=0,S18&lt;0,T18&lt;=0),"",IF(S18=0,R18/T18,-PMT(S18/1200,T18,R18)))</f>
        <v>11469</v>
      </c>
      <c r="V18" s="2" t="s">
        <v>63</v>
      </c>
      <c r="W18" s="5">
        <v>1199</v>
      </c>
      <c r="X18" s="2">
        <v>72</v>
      </c>
      <c r="Y18" s="4">
        <v>26.99</v>
      </c>
      <c r="Z18" s="5"/>
      <c r="AA18" s="6"/>
      <c r="AB18" s="2">
        <v>5</v>
      </c>
      <c r="AC18" s="2">
        <v>5</v>
      </c>
      <c r="AD18" s="2">
        <v>210</v>
      </c>
      <c r="AE18" s="2" t="s">
        <v>150</v>
      </c>
      <c r="AF18" s="2">
        <v>2</v>
      </c>
      <c r="AG18" s="2" t="s">
        <v>63</v>
      </c>
      <c r="AH18" s="2" t="s">
        <v>63</v>
      </c>
      <c r="AI18" s="2" t="s">
        <v>63</v>
      </c>
      <c r="AJ18" s="2" t="s">
        <v>64</v>
      </c>
      <c r="AK18" s="2" t="s">
        <v>101</v>
      </c>
      <c r="AL18" s="5">
        <v>60900</v>
      </c>
      <c r="AM18" s="2" t="s">
        <v>246</v>
      </c>
      <c r="AN18" s="2" t="s">
        <v>67</v>
      </c>
      <c r="AO18" s="2" t="s">
        <v>152</v>
      </c>
      <c r="AP18" s="2" t="s">
        <v>128</v>
      </c>
      <c r="AQ18" s="2" t="s">
        <v>247</v>
      </c>
      <c r="AR18" s="2" t="s">
        <v>89</v>
      </c>
      <c r="AS18" s="2" t="s">
        <v>63</v>
      </c>
      <c r="AT18" s="2" t="s">
        <v>63</v>
      </c>
      <c r="AU18" s="2" t="s">
        <v>62</v>
      </c>
      <c r="AV18" s="2" t="s">
        <v>248</v>
      </c>
      <c r="AW18" s="2" t="s">
        <v>249</v>
      </c>
      <c r="AX18" s="2" t="s">
        <v>120</v>
      </c>
      <c r="AY18" s="3">
        <v>7400</v>
      </c>
      <c r="AZ18" s="2" t="s">
        <v>76</v>
      </c>
      <c r="BA18" s="2"/>
    </row>
    <row r="19" ht="20" customHeight="1" spans="1:53" x14ac:dyDescent="0.25">
      <c r="A19" s="9" t="s">
        <v>250</v>
      </c>
      <c r="B19" s="9" t="s">
        <v>225</v>
      </c>
      <c r="C19" s="9" t="s">
        <v>251</v>
      </c>
      <c r="D19" s="9" t="s">
        <v>252</v>
      </c>
      <c r="E19" s="9" t="s">
        <v>253</v>
      </c>
      <c r="F19" s="9">
        <v>2024</v>
      </c>
      <c r="G19" s="9">
        <v>2024</v>
      </c>
      <c r="H19" s="9" t="s">
        <v>58</v>
      </c>
      <c r="I19" s="9" t="s">
        <v>97</v>
      </c>
      <c r="J19" s="9" t="s">
        <v>210</v>
      </c>
      <c r="K19" s="9" t="s">
        <v>98</v>
      </c>
      <c r="L19" s="9">
        <v>1</v>
      </c>
      <c r="M19" s="10">
        <v>1125000</v>
      </c>
      <c r="N19" s="10">
        <v>1375000</v>
      </c>
      <c r="O19" s="8" t="s">
        <v>63</v>
      </c>
      <c r="P19" s="10">
        <v>1080000</v>
      </c>
      <c r="Q19" s="10">
        <v>280000</v>
      </c>
      <c r="R19" s="10">
        <f>IF(V19="No",0,MAX(0,M19-Q19))</f>
        <v>845000</v>
      </c>
      <c r="S19" s="11">
        <v>10.55</v>
      </c>
      <c r="T19" s="9">
        <v>60</v>
      </c>
      <c r="U19" s="10">
        <f>IF(OR(R19&lt;=0,S19&lt;0,T19&lt;=0),"",IF(S19=0,R19/T19,-PMT(S19/1200,T19,R19)))</f>
        <v>18183</v>
      </c>
      <c r="V19" s="9" t="s">
        <v>63</v>
      </c>
      <c r="W19" s="12"/>
      <c r="X19" s="9">
        <v>120</v>
      </c>
      <c r="Y19" s="11"/>
      <c r="Z19" s="12">
        <v>421</v>
      </c>
      <c r="AA19" s="13">
        <v>35</v>
      </c>
      <c r="AB19" s="9">
        <v>5</v>
      </c>
      <c r="AC19" s="9">
        <v>5</v>
      </c>
      <c r="AD19" s="9">
        <v>366</v>
      </c>
      <c r="AE19" s="9" t="s">
        <v>138</v>
      </c>
      <c r="AF19" s="9">
        <v>6</v>
      </c>
      <c r="AG19" s="9" t="s">
        <v>63</v>
      </c>
      <c r="AH19" s="9" t="s">
        <v>63</v>
      </c>
      <c r="AI19" s="9" t="s">
        <v>63</v>
      </c>
      <c r="AJ19" s="9" t="s">
        <v>83</v>
      </c>
      <c r="AK19" s="9" t="s">
        <v>84</v>
      </c>
      <c r="AL19" s="12">
        <v>18100</v>
      </c>
      <c r="AM19" s="9" t="s">
        <v>254</v>
      </c>
      <c r="AN19" s="9" t="s">
        <v>164</v>
      </c>
      <c r="AO19" s="9" t="s">
        <v>165</v>
      </c>
      <c r="AP19" s="9" t="s">
        <v>141</v>
      </c>
      <c r="AQ19" s="9" t="s">
        <v>255</v>
      </c>
      <c r="AR19" s="9" t="s">
        <v>89</v>
      </c>
      <c r="AS19" s="9" t="s">
        <v>63</v>
      </c>
      <c r="AT19" s="9" t="s">
        <v>63</v>
      </c>
      <c r="AU19" s="9" t="s">
        <v>62</v>
      </c>
      <c r="AV19" s="9" t="s">
        <v>256</v>
      </c>
      <c r="AW19" s="9" t="s">
        <v>257</v>
      </c>
      <c r="AX19" s="9" t="s">
        <v>75</v>
      </c>
      <c r="AY19" s="10">
        <v>4900</v>
      </c>
      <c r="AZ19" s="9" t="s">
        <v>76</v>
      </c>
      <c r="BA19" s="9"/>
    </row>
    <row r="20" ht="20" customHeight="1" spans="1:53" x14ac:dyDescent="0.25">
      <c r="A20" s="2" t="s">
        <v>258</v>
      </c>
      <c r="B20" s="2" t="s">
        <v>225</v>
      </c>
      <c r="C20" s="2" t="s">
        <v>259</v>
      </c>
      <c r="D20" s="2" t="s">
        <v>260</v>
      </c>
      <c r="E20" s="2" t="s">
        <v>261</v>
      </c>
      <c r="F20" s="2">
        <v>2024</v>
      </c>
      <c r="G20" s="2">
        <v>2024</v>
      </c>
      <c r="H20" s="2" t="s">
        <v>58</v>
      </c>
      <c r="I20" s="2" t="s">
        <v>97</v>
      </c>
      <c r="J20" s="2" t="s">
        <v>172</v>
      </c>
      <c r="K20" s="2" t="s">
        <v>98</v>
      </c>
      <c r="L20" s="2">
        <v>1</v>
      </c>
      <c r="M20" s="3">
        <v>2045000</v>
      </c>
      <c r="N20" s="3">
        <v>2495000</v>
      </c>
      <c r="O20" s="2" t="s">
        <v>62</v>
      </c>
      <c r="P20" s="3">
        <v>2045000</v>
      </c>
      <c r="Q20" s="3">
        <v>510000</v>
      </c>
      <c r="R20" s="3">
        <f>IF(V20="No",0,MAX(0,M20-Q20))</f>
        <v>1535000</v>
      </c>
      <c r="S20" s="4">
        <v>10.55</v>
      </c>
      <c r="T20" s="2">
        <v>36</v>
      </c>
      <c r="U20" s="3">
        <f>IF(OR(R20&lt;=0,S20&lt;0,T20&lt;=0),"",IF(S20=0,R20/T20,-PMT(S20/1200,T20,R20)))</f>
        <v>49927</v>
      </c>
      <c r="V20" s="2" t="s">
        <v>63</v>
      </c>
      <c r="W20" s="5">
        <v>1956</v>
      </c>
      <c r="X20" s="2">
        <v>168</v>
      </c>
      <c r="Y20" s="4">
        <v>16.8</v>
      </c>
      <c r="Z20" s="5"/>
      <c r="AA20" s="6"/>
      <c r="AB20" s="2">
        <v>5</v>
      </c>
      <c r="AC20" s="2">
        <v>5</v>
      </c>
      <c r="AD20" s="2">
        <v>445</v>
      </c>
      <c r="AE20" s="2" t="s">
        <v>229</v>
      </c>
      <c r="AF20" s="2">
        <v>7</v>
      </c>
      <c r="AG20" s="2" t="s">
        <v>63</v>
      </c>
      <c r="AH20" s="2" t="s">
        <v>63</v>
      </c>
      <c r="AI20" s="2" t="s">
        <v>63</v>
      </c>
      <c r="AJ20" s="2" t="s">
        <v>100</v>
      </c>
      <c r="AK20" s="2" t="s">
        <v>84</v>
      </c>
      <c r="AL20" s="5">
        <v>21500</v>
      </c>
      <c r="AM20" s="2" t="s">
        <v>262</v>
      </c>
      <c r="AN20" s="2" t="s">
        <v>174</v>
      </c>
      <c r="AO20" s="2" t="s">
        <v>175</v>
      </c>
      <c r="AP20" s="2" t="s">
        <v>69</v>
      </c>
      <c r="AQ20" s="2" t="s">
        <v>263</v>
      </c>
      <c r="AR20" s="2" t="s">
        <v>71</v>
      </c>
      <c r="AS20" s="2" t="s">
        <v>63</v>
      </c>
      <c r="AT20" s="2" t="s">
        <v>63</v>
      </c>
      <c r="AU20" s="2" t="s">
        <v>62</v>
      </c>
      <c r="AV20" s="2" t="s">
        <v>264</v>
      </c>
      <c r="AW20" s="2" t="s">
        <v>265</v>
      </c>
      <c r="AX20" s="2" t="s">
        <v>92</v>
      </c>
      <c r="AY20" s="3">
        <v>13500</v>
      </c>
      <c r="AZ20" s="2" t="s">
        <v>76</v>
      </c>
      <c r="BA20" s="2"/>
    </row>
    <row r="21" ht="20" customHeight="1" spans="1:53" x14ac:dyDescent="0.25">
      <c r="A21" s="2" t="s">
        <v>266</v>
      </c>
      <c r="B21" s="2" t="s">
        <v>225</v>
      </c>
      <c r="C21" s="2" t="s">
        <v>267</v>
      </c>
      <c r="D21" s="2" t="s">
        <v>268</v>
      </c>
      <c r="E21" s="2" t="s">
        <v>269</v>
      </c>
      <c r="F21" s="2">
        <v>2019</v>
      </c>
      <c r="G21" s="2">
        <v>2019</v>
      </c>
      <c r="H21" s="2" t="s">
        <v>58</v>
      </c>
      <c r="I21" s="2" t="s">
        <v>97</v>
      </c>
      <c r="J21" s="2" t="s">
        <v>172</v>
      </c>
      <c r="K21" s="2" t="s">
        <v>98</v>
      </c>
      <c r="L21" s="2">
        <v>1</v>
      </c>
      <c r="M21" s="3">
        <v>1020000</v>
      </c>
      <c r="N21" s="3">
        <v>2255000</v>
      </c>
      <c r="O21" s="8" t="s">
        <v>63</v>
      </c>
      <c r="P21" s="3">
        <v>970000</v>
      </c>
      <c r="Q21" s="3">
        <v>255000</v>
      </c>
      <c r="R21" s="3">
        <f>IF(V21="No",0,MAX(0,M21-Q21))</f>
        <v>765000</v>
      </c>
      <c r="S21" s="4">
        <v>11.3</v>
      </c>
      <c r="T21" s="2">
        <v>48</v>
      </c>
      <c r="U21" s="3">
        <f>IF(OR(R21&lt;=0,S21&lt;0,T21&lt;=0),"",IF(S21=0,R21/T21,-PMT(S21/1200,T21,R21)))</f>
        <v>19883</v>
      </c>
      <c r="V21" s="2" t="s">
        <v>63</v>
      </c>
      <c r="W21" s="5">
        <v>1956</v>
      </c>
      <c r="X21" s="2">
        <v>168</v>
      </c>
      <c r="Y21" s="4">
        <v>16.3</v>
      </c>
      <c r="Z21" s="5"/>
      <c r="AA21" s="6"/>
      <c r="AB21" s="2">
        <v>6</v>
      </c>
      <c r="AC21" s="2">
        <v>5</v>
      </c>
      <c r="AD21" s="2">
        <v>420</v>
      </c>
      <c r="AE21" s="2" t="s">
        <v>229</v>
      </c>
      <c r="AF21" s="2">
        <v>7</v>
      </c>
      <c r="AG21" s="2" t="s">
        <v>63</v>
      </c>
      <c r="AH21" s="2" t="s">
        <v>63</v>
      </c>
      <c r="AI21" s="2" t="s">
        <v>63</v>
      </c>
      <c r="AJ21" s="2" t="s">
        <v>113</v>
      </c>
      <c r="AK21" s="2" t="s">
        <v>65</v>
      </c>
      <c r="AL21" s="7">
        <v>112400</v>
      </c>
      <c r="AM21" s="2" t="s">
        <v>270</v>
      </c>
      <c r="AN21" s="2" t="s">
        <v>185</v>
      </c>
      <c r="AO21" s="2" t="s">
        <v>186</v>
      </c>
      <c r="AP21" s="2" t="s">
        <v>69</v>
      </c>
      <c r="AQ21" s="2" t="s">
        <v>271</v>
      </c>
      <c r="AR21" s="2" t="s">
        <v>89</v>
      </c>
      <c r="AS21" s="2" t="s">
        <v>63</v>
      </c>
      <c r="AT21" s="2" t="s">
        <v>62</v>
      </c>
      <c r="AU21" s="2" t="s">
        <v>62</v>
      </c>
      <c r="AV21" s="2" t="s">
        <v>272</v>
      </c>
      <c r="AW21" s="2" t="s">
        <v>273</v>
      </c>
      <c r="AX21" s="2" t="s">
        <v>92</v>
      </c>
      <c r="AY21" s="3">
        <v>16900</v>
      </c>
      <c r="AZ21" s="2" t="s">
        <v>76</v>
      </c>
      <c r="BA21" s="2"/>
    </row>
    <row r="22" ht="20" customHeight="1" spans="1:53" x14ac:dyDescent="0.25">
      <c r="A22" s="9" t="s">
        <v>274</v>
      </c>
      <c r="B22" s="9" t="s">
        <v>225</v>
      </c>
      <c r="C22" s="9" t="s">
        <v>275</v>
      </c>
      <c r="D22" s="9" t="s">
        <v>276</v>
      </c>
      <c r="E22" s="9" t="s">
        <v>277</v>
      </c>
      <c r="F22" s="9">
        <v>2023</v>
      </c>
      <c r="G22" s="9">
        <v>2024</v>
      </c>
      <c r="H22" s="9" t="s">
        <v>58</v>
      </c>
      <c r="I22" s="9" t="s">
        <v>278</v>
      </c>
      <c r="J22" s="9" t="s">
        <v>210</v>
      </c>
      <c r="K22" s="9" t="s">
        <v>98</v>
      </c>
      <c r="L22" s="9">
        <v>1</v>
      </c>
      <c r="M22" s="10">
        <v>1510000</v>
      </c>
      <c r="N22" s="10">
        <v>2035000</v>
      </c>
      <c r="O22" s="8" t="s">
        <v>63</v>
      </c>
      <c r="P22" s="10">
        <v>1450000</v>
      </c>
      <c r="Q22" s="10">
        <v>380000</v>
      </c>
      <c r="R22" s="10">
        <f>IF(V22="No",0,MAX(0,M22-Q22))</f>
        <v>1130000</v>
      </c>
      <c r="S22" s="11">
        <v>10.7</v>
      </c>
      <c r="T22" s="9">
        <v>60</v>
      </c>
      <c r="U22" s="10">
        <f>IF(OR(R22&lt;=0,S22&lt;0,T22&lt;=0),"",IF(S22=0,R22/T22,-PMT(S22/1200,T22,R22)))</f>
        <v>24400</v>
      </c>
      <c r="V22" s="9" t="s">
        <v>63</v>
      </c>
      <c r="W22" s="12"/>
      <c r="X22" s="9">
        <v>165</v>
      </c>
      <c r="Y22" s="11"/>
      <c r="Z22" s="12">
        <v>585</v>
      </c>
      <c r="AA22" s="13">
        <v>55</v>
      </c>
      <c r="AB22" s="9">
        <v>5</v>
      </c>
      <c r="AC22" s="9">
        <v>5</v>
      </c>
      <c r="AD22" s="9">
        <v>500</v>
      </c>
      <c r="AE22" s="9" t="s">
        <v>138</v>
      </c>
      <c r="AF22" s="9">
        <v>6</v>
      </c>
      <c r="AG22" s="9" t="s">
        <v>63</v>
      </c>
      <c r="AH22" s="9" t="s">
        <v>63</v>
      </c>
      <c r="AI22" s="9" t="s">
        <v>63</v>
      </c>
      <c r="AJ22" s="9" t="s">
        <v>64</v>
      </c>
      <c r="AK22" s="9" t="s">
        <v>84</v>
      </c>
      <c r="AL22" s="12">
        <v>23800</v>
      </c>
      <c r="AM22" s="9" t="s">
        <v>279</v>
      </c>
      <c r="AN22" s="9" t="s">
        <v>67</v>
      </c>
      <c r="AO22" s="9" t="s">
        <v>68</v>
      </c>
      <c r="AP22" s="9" t="s">
        <v>69</v>
      </c>
      <c r="AQ22" s="9" t="s">
        <v>280</v>
      </c>
      <c r="AR22" s="9" t="s">
        <v>89</v>
      </c>
      <c r="AS22" s="9" t="s">
        <v>63</v>
      </c>
      <c r="AT22" s="9" t="s">
        <v>63</v>
      </c>
      <c r="AU22" s="9" t="s">
        <v>62</v>
      </c>
      <c r="AV22" s="9" t="s">
        <v>281</v>
      </c>
      <c r="AW22" s="9" t="s">
        <v>282</v>
      </c>
      <c r="AX22" s="9" t="s">
        <v>197</v>
      </c>
      <c r="AY22" s="10">
        <v>5800</v>
      </c>
      <c r="AZ22" s="9" t="s">
        <v>76</v>
      </c>
      <c r="BA22" s="9"/>
    </row>
    <row r="23" ht="20" customHeight="1" spans="1:53" x14ac:dyDescent="0.25">
      <c r="A23" s="2" t="s">
        <v>283</v>
      </c>
      <c r="B23" s="2" t="s">
        <v>284</v>
      </c>
      <c r="C23" s="2" t="s">
        <v>285</v>
      </c>
      <c r="D23" s="2" t="s">
        <v>286</v>
      </c>
      <c r="E23" s="2" t="s">
        <v>287</v>
      </c>
      <c r="F23" s="2">
        <v>2021</v>
      </c>
      <c r="G23" s="2">
        <v>2021</v>
      </c>
      <c r="H23" s="2" t="s">
        <v>58</v>
      </c>
      <c r="I23" s="2" t="s">
        <v>97</v>
      </c>
      <c r="J23" s="2" t="s">
        <v>172</v>
      </c>
      <c r="K23" s="2" t="s">
        <v>98</v>
      </c>
      <c r="L23" s="2">
        <v>2</v>
      </c>
      <c r="M23" s="3">
        <v>1355000</v>
      </c>
      <c r="N23" s="3">
        <v>2230000</v>
      </c>
      <c r="O23" s="2" t="s">
        <v>62</v>
      </c>
      <c r="P23" s="3">
        <v>1355000</v>
      </c>
      <c r="Q23" s="3">
        <v>340000</v>
      </c>
      <c r="R23" s="3">
        <f>IF(V23="No",0,MAX(0,M23-Q23))</f>
        <v>1015000</v>
      </c>
      <c r="S23" s="4">
        <v>11</v>
      </c>
      <c r="T23" s="2">
        <v>36</v>
      </c>
      <c r="U23" s="3">
        <f>IF(OR(R23&lt;=0,S23&lt;0,T23&lt;=0),"",IF(S23=0,R23/T23,-PMT(S23/1200,T23,R23)))</f>
        <v>33230</v>
      </c>
      <c r="V23" s="2" t="s">
        <v>63</v>
      </c>
      <c r="W23" s="5">
        <v>2198</v>
      </c>
      <c r="X23" s="2">
        <v>182</v>
      </c>
      <c r="Y23" s="4">
        <v>15.5</v>
      </c>
      <c r="Z23" s="5"/>
      <c r="AA23" s="6"/>
      <c r="AB23" s="2">
        <v>7</v>
      </c>
      <c r="AC23" s="2">
        <v>5</v>
      </c>
      <c r="AD23" s="2">
        <v>240</v>
      </c>
      <c r="AE23" s="2" t="s">
        <v>150</v>
      </c>
      <c r="AF23" s="2">
        <v>7</v>
      </c>
      <c r="AG23" s="2" t="s">
        <v>63</v>
      </c>
      <c r="AH23" s="2" t="s">
        <v>63</v>
      </c>
      <c r="AI23" s="2" t="s">
        <v>63</v>
      </c>
      <c r="AJ23" s="2" t="s">
        <v>83</v>
      </c>
      <c r="AK23" s="2" t="s">
        <v>101</v>
      </c>
      <c r="AL23" s="5">
        <v>54500</v>
      </c>
      <c r="AM23" s="2" t="s">
        <v>288</v>
      </c>
      <c r="AN23" s="2" t="s">
        <v>86</v>
      </c>
      <c r="AO23" s="2" t="s">
        <v>87</v>
      </c>
      <c r="AP23" s="2" t="s">
        <v>69</v>
      </c>
      <c r="AQ23" s="2" t="s">
        <v>289</v>
      </c>
      <c r="AR23" s="2" t="s">
        <v>71</v>
      </c>
      <c r="AS23" s="2" t="s">
        <v>62</v>
      </c>
      <c r="AT23" s="2" t="s">
        <v>62</v>
      </c>
      <c r="AU23" s="2" t="s">
        <v>62</v>
      </c>
      <c r="AV23" s="2" t="s">
        <v>290</v>
      </c>
      <c r="AW23" s="2" t="s">
        <v>291</v>
      </c>
      <c r="AX23" s="2" t="s">
        <v>92</v>
      </c>
      <c r="AY23" s="3">
        <v>15400</v>
      </c>
      <c r="AZ23" s="2" t="s">
        <v>76</v>
      </c>
      <c r="BA23" s="2"/>
    </row>
    <row r="24" ht="20" customHeight="1" spans="1:53" x14ac:dyDescent="0.25">
      <c r="A24" s="2" t="s">
        <v>292</v>
      </c>
      <c r="B24" s="2" t="s">
        <v>284</v>
      </c>
      <c r="C24" s="2" t="s">
        <v>293</v>
      </c>
      <c r="D24" s="2" t="s">
        <v>294</v>
      </c>
      <c r="E24" s="2" t="s">
        <v>295</v>
      </c>
      <c r="F24" s="2">
        <v>2016</v>
      </c>
      <c r="G24" s="2">
        <v>2016</v>
      </c>
      <c r="H24" s="2" t="s">
        <v>58</v>
      </c>
      <c r="I24" s="2" t="s">
        <v>97</v>
      </c>
      <c r="J24" s="2" t="s">
        <v>172</v>
      </c>
      <c r="K24" s="2" t="s">
        <v>98</v>
      </c>
      <c r="L24" s="2">
        <v>2</v>
      </c>
      <c r="M24" s="3">
        <v>615000</v>
      </c>
      <c r="N24" s="3">
        <v>1840000</v>
      </c>
      <c r="O24" s="8" t="s">
        <v>63</v>
      </c>
      <c r="P24" s="3">
        <v>585000</v>
      </c>
      <c r="Q24" s="3">
        <v>155000</v>
      </c>
      <c r="R24" s="3">
        <f>IF(V24="No",0,MAX(0,M24-Q24))</f>
        <v>460000</v>
      </c>
      <c r="S24" s="4">
        <v>11.75</v>
      </c>
      <c r="T24" s="2">
        <v>48</v>
      </c>
      <c r="U24" s="3">
        <f>IF(OR(R24&lt;=0,S24&lt;0,T24&lt;=0),"",IF(S24=0,R24/T24,-PMT(S24/1200,T24,R24)))</f>
        <v>12057</v>
      </c>
      <c r="V24" s="2" t="s">
        <v>63</v>
      </c>
      <c r="W24" s="5">
        <v>2198</v>
      </c>
      <c r="X24" s="2">
        <v>172</v>
      </c>
      <c r="Y24" s="4">
        <v>15.4</v>
      </c>
      <c r="Z24" s="5"/>
      <c r="AA24" s="6"/>
      <c r="AB24" s="2">
        <v>7</v>
      </c>
      <c r="AC24" s="2">
        <v>5</v>
      </c>
      <c r="AD24" s="2">
        <v>460</v>
      </c>
      <c r="AE24" s="2" t="s">
        <v>150</v>
      </c>
      <c r="AF24" s="2">
        <v>6</v>
      </c>
      <c r="AG24" s="2" t="s">
        <v>63</v>
      </c>
      <c r="AH24" s="2" t="s">
        <v>63</v>
      </c>
      <c r="AI24" s="2" t="s">
        <v>63</v>
      </c>
      <c r="AJ24" s="2" t="s">
        <v>100</v>
      </c>
      <c r="AK24" s="2" t="s">
        <v>65</v>
      </c>
      <c r="AL24" s="7">
        <v>145000</v>
      </c>
      <c r="AM24" s="2" t="s">
        <v>296</v>
      </c>
      <c r="AN24" s="2" t="s">
        <v>103</v>
      </c>
      <c r="AO24" s="2" t="s">
        <v>104</v>
      </c>
      <c r="AP24" s="2" t="s">
        <v>128</v>
      </c>
      <c r="AQ24" s="2" t="s">
        <v>70</v>
      </c>
      <c r="AR24" s="2" t="s">
        <v>89</v>
      </c>
      <c r="AS24" s="2" t="s">
        <v>63</v>
      </c>
      <c r="AT24" s="2" t="s">
        <v>62</v>
      </c>
      <c r="AU24" s="2" t="s">
        <v>62</v>
      </c>
      <c r="AV24" s="2" t="s">
        <v>297</v>
      </c>
      <c r="AW24" s="2" t="s">
        <v>298</v>
      </c>
      <c r="AX24" s="2" t="s">
        <v>197</v>
      </c>
      <c r="AY24" s="3">
        <v>17100</v>
      </c>
      <c r="AZ24" s="2" t="s">
        <v>76</v>
      </c>
      <c r="BA24" s="2"/>
    </row>
    <row r="25" ht="20" customHeight="1" spans="1:53" x14ac:dyDescent="0.25">
      <c r="A25" s="2" t="s">
        <v>299</v>
      </c>
      <c r="B25" s="2" t="s">
        <v>284</v>
      </c>
      <c r="C25" s="2" t="s">
        <v>300</v>
      </c>
      <c r="D25" s="2" t="s">
        <v>301</v>
      </c>
      <c r="E25" s="2" t="s">
        <v>302</v>
      </c>
      <c r="F25" s="2">
        <v>2026</v>
      </c>
      <c r="G25" s="2">
        <v>2026</v>
      </c>
      <c r="H25" s="2" t="s">
        <v>171</v>
      </c>
      <c r="I25" s="2" t="s">
        <v>97</v>
      </c>
      <c r="J25" s="2" t="s">
        <v>172</v>
      </c>
      <c r="K25" s="2" t="s">
        <v>98</v>
      </c>
      <c r="L25" s="2">
        <v>0</v>
      </c>
      <c r="M25" s="3">
        <v>2249000</v>
      </c>
      <c r="N25" s="3">
        <v>2250000</v>
      </c>
      <c r="O25" s="2" t="s">
        <v>62</v>
      </c>
      <c r="P25" s="3">
        <v>2249000</v>
      </c>
      <c r="Q25" s="3">
        <v>450000</v>
      </c>
      <c r="R25" s="3">
        <f>IF(V25="No",0,MAX(0,M25-Q25))</f>
        <v>1799000</v>
      </c>
      <c r="S25" s="4">
        <v>8.95</v>
      </c>
      <c r="T25" s="2">
        <v>84</v>
      </c>
      <c r="U25" s="3">
        <f>IF(OR(R25&lt;=0,S25&lt;0,T25&lt;=0),"",IF(S25=0,R25/T25,-PMT(S25/1200,T25,R25)))</f>
        <v>28899</v>
      </c>
      <c r="V25" s="2" t="s">
        <v>63</v>
      </c>
      <c r="W25" s="5">
        <v>2184</v>
      </c>
      <c r="X25" s="2">
        <v>172</v>
      </c>
      <c r="Y25" s="4">
        <v>15.2</v>
      </c>
      <c r="Z25" s="5"/>
      <c r="AA25" s="6"/>
      <c r="AB25" s="2">
        <v>5</v>
      </c>
      <c r="AC25" s="2">
        <v>5</v>
      </c>
      <c r="AD25" s="2">
        <v>447</v>
      </c>
      <c r="AE25" s="2" t="s">
        <v>138</v>
      </c>
      <c r="AF25" s="2">
        <v>6</v>
      </c>
      <c r="AG25" s="2" t="s">
        <v>63</v>
      </c>
      <c r="AH25" s="2" t="s">
        <v>63</v>
      </c>
      <c r="AI25" s="2" t="s">
        <v>63</v>
      </c>
      <c r="AJ25" s="2" t="s">
        <v>113</v>
      </c>
      <c r="AK25" s="2" t="s">
        <v>171</v>
      </c>
      <c r="AL25" s="5">
        <v>38</v>
      </c>
      <c r="AM25" s="2" t="s">
        <v>303</v>
      </c>
      <c r="AN25" s="2" t="s">
        <v>115</v>
      </c>
      <c r="AO25" s="2" t="s">
        <v>116</v>
      </c>
      <c r="AP25" s="2" t="s">
        <v>141</v>
      </c>
      <c r="AQ25" s="2" t="s">
        <v>88</v>
      </c>
      <c r="AR25" s="2" t="s">
        <v>89</v>
      </c>
      <c r="AS25" s="2" t="s">
        <v>63</v>
      </c>
      <c r="AT25" s="2" t="s">
        <v>63</v>
      </c>
      <c r="AU25" s="2" t="s">
        <v>62</v>
      </c>
      <c r="AV25" s="2" t="s">
        <v>304</v>
      </c>
      <c r="AW25" s="2" t="s">
        <v>305</v>
      </c>
      <c r="AX25" s="2" t="s">
        <v>197</v>
      </c>
      <c r="AY25" s="3">
        <v>11800</v>
      </c>
      <c r="AZ25" s="2" t="s">
        <v>76</v>
      </c>
      <c r="BA25" s="2"/>
    </row>
    <row r="26" ht="20" customHeight="1" spans="1:53" x14ac:dyDescent="0.25">
      <c r="A26" s="2" t="s">
        <v>306</v>
      </c>
      <c r="B26" s="2" t="s">
        <v>284</v>
      </c>
      <c r="C26" s="2" t="s">
        <v>307</v>
      </c>
      <c r="D26" s="2" t="s">
        <v>308</v>
      </c>
      <c r="E26" s="2" t="s">
        <v>309</v>
      </c>
      <c r="F26" s="2">
        <v>2023</v>
      </c>
      <c r="G26" s="2">
        <v>2023</v>
      </c>
      <c r="H26" s="2" t="s">
        <v>58</v>
      </c>
      <c r="I26" s="2" t="s">
        <v>97</v>
      </c>
      <c r="J26" s="2" t="s">
        <v>60</v>
      </c>
      <c r="K26" s="2" t="s">
        <v>98</v>
      </c>
      <c r="L26" s="2">
        <v>1</v>
      </c>
      <c r="M26" s="3">
        <v>1065000</v>
      </c>
      <c r="N26" s="3">
        <v>1435000</v>
      </c>
      <c r="O26" s="2" t="s">
        <v>62</v>
      </c>
      <c r="P26" s="3">
        <v>1065000</v>
      </c>
      <c r="Q26" s="3">
        <v>265000</v>
      </c>
      <c r="R26" s="3">
        <f>IF(V26="No",0,MAX(0,M26-Q26))</f>
        <v>800000</v>
      </c>
      <c r="S26" s="4">
        <v>10.7</v>
      </c>
      <c r="T26" s="2">
        <v>36</v>
      </c>
      <c r="U26" s="3">
        <f>IF(OR(R26&lt;=0,S26&lt;0,T26&lt;=0),"",IF(S26=0,R26/T26,-PMT(S26/1200,T26,R26)))</f>
        <v>26077</v>
      </c>
      <c r="V26" s="2" t="s">
        <v>63</v>
      </c>
      <c r="W26" s="5">
        <v>1197</v>
      </c>
      <c r="X26" s="2">
        <v>129</v>
      </c>
      <c r="Y26" s="4">
        <v>18.2</v>
      </c>
      <c r="Z26" s="5"/>
      <c r="AA26" s="6"/>
      <c r="AB26" s="2">
        <v>5</v>
      </c>
      <c r="AC26" s="2">
        <v>5</v>
      </c>
      <c r="AD26" s="2">
        <v>364</v>
      </c>
      <c r="AE26" s="2" t="s">
        <v>138</v>
      </c>
      <c r="AF26" s="2">
        <v>6</v>
      </c>
      <c r="AG26" s="2" t="s">
        <v>63</v>
      </c>
      <c r="AH26" s="2" t="s">
        <v>63</v>
      </c>
      <c r="AI26" s="2" t="s">
        <v>63</v>
      </c>
      <c r="AJ26" s="2" t="s">
        <v>64</v>
      </c>
      <c r="AK26" s="2" t="s">
        <v>84</v>
      </c>
      <c r="AL26" s="5">
        <v>23900</v>
      </c>
      <c r="AM26" s="2" t="s">
        <v>310</v>
      </c>
      <c r="AN26" s="2" t="s">
        <v>127</v>
      </c>
      <c r="AO26" s="2" t="s">
        <v>127</v>
      </c>
      <c r="AP26" s="2" t="s">
        <v>69</v>
      </c>
      <c r="AQ26" s="2" t="s">
        <v>105</v>
      </c>
      <c r="AR26" s="2" t="s">
        <v>71</v>
      </c>
      <c r="AS26" s="2" t="s">
        <v>63</v>
      </c>
      <c r="AT26" s="2" t="s">
        <v>63</v>
      </c>
      <c r="AU26" s="2" t="s">
        <v>62</v>
      </c>
      <c r="AV26" s="2" t="s">
        <v>311</v>
      </c>
      <c r="AW26" s="2" t="s">
        <v>312</v>
      </c>
      <c r="AX26" s="2" t="s">
        <v>92</v>
      </c>
      <c r="AY26" s="3">
        <v>9400</v>
      </c>
      <c r="AZ26" s="2" t="s">
        <v>76</v>
      </c>
      <c r="BA26" s="2"/>
    </row>
    <row r="27" ht="20" customHeight="1" spans="1:53" x14ac:dyDescent="0.25">
      <c r="A27" s="9" t="s">
        <v>313</v>
      </c>
      <c r="B27" s="9" t="s">
        <v>284</v>
      </c>
      <c r="C27" s="9" t="s">
        <v>314</v>
      </c>
      <c r="D27" s="9" t="s">
        <v>315</v>
      </c>
      <c r="E27" s="9" t="s">
        <v>316</v>
      </c>
      <c r="F27" s="9">
        <v>2024</v>
      </c>
      <c r="G27" s="9">
        <v>2025</v>
      </c>
      <c r="H27" s="9" t="s">
        <v>58</v>
      </c>
      <c r="I27" s="9" t="s">
        <v>278</v>
      </c>
      <c r="J27" s="9" t="s">
        <v>210</v>
      </c>
      <c r="K27" s="9" t="s">
        <v>98</v>
      </c>
      <c r="L27" s="9">
        <v>1</v>
      </c>
      <c r="M27" s="10">
        <v>2095000</v>
      </c>
      <c r="N27" s="10">
        <v>2555000</v>
      </c>
      <c r="O27" s="8" t="s">
        <v>63</v>
      </c>
      <c r="P27" s="10">
        <v>1990000</v>
      </c>
      <c r="Q27" s="10">
        <v>525000</v>
      </c>
      <c r="R27" s="10">
        <f>IF(V27="No",0,MAX(0,M27-Q27))</f>
        <v>1570000</v>
      </c>
      <c r="S27" s="11">
        <v>10.55</v>
      </c>
      <c r="T27" s="9">
        <v>48</v>
      </c>
      <c r="U27" s="10">
        <f>IF(OR(R27&lt;=0,S27&lt;0,T27&lt;=0),"",IF(S27=0,R27/T27,-PMT(S27/1200,T27,R27)))</f>
        <v>40235</v>
      </c>
      <c r="V27" s="9" t="s">
        <v>63</v>
      </c>
      <c r="W27" s="12"/>
      <c r="X27" s="9">
        <v>282</v>
      </c>
      <c r="Y27" s="11"/>
      <c r="Z27" s="12">
        <v>682</v>
      </c>
      <c r="AA27" s="13">
        <v>79</v>
      </c>
      <c r="AB27" s="9">
        <v>5</v>
      </c>
      <c r="AC27" s="9">
        <v>5</v>
      </c>
      <c r="AD27" s="9">
        <v>455</v>
      </c>
      <c r="AE27" s="9" t="s">
        <v>138</v>
      </c>
      <c r="AF27" s="9">
        <v>7</v>
      </c>
      <c r="AG27" s="9" t="s">
        <v>63</v>
      </c>
      <c r="AH27" s="9" t="s">
        <v>63</v>
      </c>
      <c r="AI27" s="9" t="s">
        <v>63</v>
      </c>
      <c r="AJ27" s="9" t="s">
        <v>83</v>
      </c>
      <c r="AK27" s="9" t="s">
        <v>84</v>
      </c>
      <c r="AL27" s="12">
        <v>22200</v>
      </c>
      <c r="AM27" s="9" t="s">
        <v>317</v>
      </c>
      <c r="AN27" s="9" t="s">
        <v>115</v>
      </c>
      <c r="AO27" s="9" t="s">
        <v>140</v>
      </c>
      <c r="AP27" s="9" t="s">
        <v>69</v>
      </c>
      <c r="AQ27" s="9" t="s">
        <v>117</v>
      </c>
      <c r="AR27" s="9" t="s">
        <v>89</v>
      </c>
      <c r="AS27" s="9" t="s">
        <v>63</v>
      </c>
      <c r="AT27" s="9" t="s">
        <v>63</v>
      </c>
      <c r="AU27" s="9" t="s">
        <v>62</v>
      </c>
      <c r="AV27" s="9" t="s">
        <v>318</v>
      </c>
      <c r="AW27" s="9" t="s">
        <v>319</v>
      </c>
      <c r="AX27" s="9" t="s">
        <v>197</v>
      </c>
      <c r="AY27" s="10">
        <v>6300</v>
      </c>
      <c r="AZ27" s="9" t="s">
        <v>76</v>
      </c>
      <c r="BA27" s="9"/>
    </row>
    <row r="28" ht="20" customHeight="1" spans="1:53" x14ac:dyDescent="0.25">
      <c r="A28" s="2" t="s">
        <v>320</v>
      </c>
      <c r="B28" s="2" t="s">
        <v>321</v>
      </c>
      <c r="C28" s="2" t="s">
        <v>322</v>
      </c>
      <c r="D28" s="2" t="s">
        <v>40</v>
      </c>
      <c r="E28" s="2" t="s">
        <v>323</v>
      </c>
      <c r="F28" s="2">
        <v>2020</v>
      </c>
      <c r="G28" s="2">
        <v>2020</v>
      </c>
      <c r="H28" s="2" t="s">
        <v>58</v>
      </c>
      <c r="I28" s="2" t="s">
        <v>149</v>
      </c>
      <c r="J28" s="2" t="s">
        <v>60</v>
      </c>
      <c r="K28" s="2" t="s">
        <v>137</v>
      </c>
      <c r="L28" s="2">
        <v>1</v>
      </c>
      <c r="M28" s="3">
        <v>765000</v>
      </c>
      <c r="N28" s="3">
        <v>1390000</v>
      </c>
      <c r="O28" s="8" t="s">
        <v>63</v>
      </c>
      <c r="P28" s="3">
        <v>735000</v>
      </c>
      <c r="Q28" s="3">
        <v>190000</v>
      </c>
      <c r="R28" s="3">
        <f>IF(V28="No",0,MAX(0,M28-Q28))</f>
        <v>575000</v>
      </c>
      <c r="S28" s="4">
        <v>11.15</v>
      </c>
      <c r="T28" s="2">
        <v>60</v>
      </c>
      <c r="U28" s="3">
        <f>IF(OR(R28&lt;=0,S28&lt;0,T28&lt;=0),"",IF(S28=0,R28/T28,-PMT(S28/1200,T28,R28)))</f>
        <v>12545</v>
      </c>
      <c r="V28" s="2" t="s">
        <v>63</v>
      </c>
      <c r="W28" s="5">
        <v>1498</v>
      </c>
      <c r="X28" s="2">
        <v>119</v>
      </c>
      <c r="Y28" s="4">
        <v>18.4</v>
      </c>
      <c r="Z28" s="5"/>
      <c r="AA28" s="6"/>
      <c r="AB28" s="2">
        <v>5</v>
      </c>
      <c r="AC28" s="2">
        <v>4</v>
      </c>
      <c r="AD28" s="2">
        <v>506</v>
      </c>
      <c r="AE28" s="2" t="s">
        <v>324</v>
      </c>
      <c r="AF28" s="2">
        <v>6</v>
      </c>
      <c r="AG28" s="2" t="s">
        <v>63</v>
      </c>
      <c r="AH28" s="2" t="s">
        <v>63</v>
      </c>
      <c r="AI28" s="2" t="s">
        <v>63</v>
      </c>
      <c r="AJ28" s="2" t="s">
        <v>100</v>
      </c>
      <c r="AK28" s="2" t="s">
        <v>101</v>
      </c>
      <c r="AL28" s="5">
        <v>57400</v>
      </c>
      <c r="AM28" s="2" t="s">
        <v>325</v>
      </c>
      <c r="AN28" s="2" t="s">
        <v>67</v>
      </c>
      <c r="AO28" s="2" t="s">
        <v>152</v>
      </c>
      <c r="AP28" s="2" t="s">
        <v>69</v>
      </c>
      <c r="AQ28" s="2" t="s">
        <v>129</v>
      </c>
      <c r="AR28" s="2" t="s">
        <v>89</v>
      </c>
      <c r="AS28" s="2" t="s">
        <v>63</v>
      </c>
      <c r="AT28" s="2" t="s">
        <v>62</v>
      </c>
      <c r="AU28" s="2" t="s">
        <v>62</v>
      </c>
      <c r="AV28" s="2" t="s">
        <v>326</v>
      </c>
      <c r="AW28" s="2" t="s">
        <v>327</v>
      </c>
      <c r="AX28" s="2" t="s">
        <v>92</v>
      </c>
      <c r="AY28" s="3">
        <v>10500</v>
      </c>
      <c r="AZ28" s="2" t="s">
        <v>76</v>
      </c>
      <c r="BA28" s="2"/>
    </row>
    <row r="29" ht="20" customHeight="1" spans="1:53" x14ac:dyDescent="0.25">
      <c r="A29" s="2" t="s">
        <v>328</v>
      </c>
      <c r="B29" s="2" t="s">
        <v>321</v>
      </c>
      <c r="C29" s="2" t="s">
        <v>329</v>
      </c>
      <c r="D29" s="2" t="s">
        <v>330</v>
      </c>
      <c r="E29" s="2" t="s">
        <v>331</v>
      </c>
      <c r="F29" s="2">
        <v>2015</v>
      </c>
      <c r="G29" s="2">
        <v>2015</v>
      </c>
      <c r="H29" s="2" t="s">
        <v>58</v>
      </c>
      <c r="I29" s="2" t="s">
        <v>149</v>
      </c>
      <c r="J29" s="2" t="s">
        <v>136</v>
      </c>
      <c r="K29" s="2" t="s">
        <v>137</v>
      </c>
      <c r="L29" s="2">
        <v>2</v>
      </c>
      <c r="M29" s="3">
        <v>450000</v>
      </c>
      <c r="N29" s="3">
        <v>1490000</v>
      </c>
      <c r="O29" s="2" t="s">
        <v>62</v>
      </c>
      <c r="P29" s="3">
        <v>450000</v>
      </c>
      <c r="Q29" s="3">
        <v>115000</v>
      </c>
      <c r="R29" s="3">
        <f>IF(V29="No",0,MAX(0,M29-Q29))</f>
        <v>0</v>
      </c>
      <c r="S29" s="4">
        <v>0</v>
      </c>
      <c r="T29" s="2">
        <v>0</v>
      </c>
      <c r="U29" s="3" t="str">
        <f>IF(OR(R29&lt;=0,S29&lt;0,T29&lt;=0),"",IF(S29=0,R29/T29,-PMT(S29/1200,T29,R29)))</f>
        <v/>
      </c>
      <c r="V29" s="2" t="s">
        <v>62</v>
      </c>
      <c r="W29" s="5">
        <v>1498</v>
      </c>
      <c r="X29" s="2">
        <v>124</v>
      </c>
      <c r="Y29" s="4">
        <v>27.13</v>
      </c>
      <c r="Z29" s="5"/>
      <c r="AA29" s="6"/>
      <c r="AB29" s="2">
        <v>5</v>
      </c>
      <c r="AC29" s="2">
        <v>4</v>
      </c>
      <c r="AD29" s="2">
        <v>410</v>
      </c>
      <c r="AE29" s="2" t="s">
        <v>324</v>
      </c>
      <c r="AF29" s="2">
        <v>6</v>
      </c>
      <c r="AG29" s="2" t="s">
        <v>63</v>
      </c>
      <c r="AH29" s="2" t="s">
        <v>63</v>
      </c>
      <c r="AI29" s="2" t="s">
        <v>63</v>
      </c>
      <c r="AJ29" s="2" t="s">
        <v>113</v>
      </c>
      <c r="AK29" s="2" t="s">
        <v>65</v>
      </c>
      <c r="AL29" s="7">
        <v>122400</v>
      </c>
      <c r="AM29" s="2" t="s">
        <v>332</v>
      </c>
      <c r="AN29" s="2" t="s">
        <v>164</v>
      </c>
      <c r="AO29" s="2" t="s">
        <v>165</v>
      </c>
      <c r="AP29" s="2" t="s">
        <v>69</v>
      </c>
      <c r="AQ29" s="2" t="s">
        <v>142</v>
      </c>
      <c r="AR29" s="2" t="s">
        <v>71</v>
      </c>
      <c r="AS29" s="2" t="s">
        <v>63</v>
      </c>
      <c r="AT29" s="2" t="s">
        <v>62</v>
      </c>
      <c r="AU29" s="2" t="s">
        <v>62</v>
      </c>
      <c r="AV29" s="2" t="s">
        <v>333</v>
      </c>
      <c r="AW29" s="2" t="s">
        <v>334</v>
      </c>
      <c r="AX29" s="2" t="s">
        <v>335</v>
      </c>
      <c r="AY29" s="3">
        <v>13100</v>
      </c>
      <c r="AZ29" s="2" t="s">
        <v>76</v>
      </c>
      <c r="BA29" s="2"/>
    </row>
    <row r="30" ht="20" customHeight="1" spans="1:53" x14ac:dyDescent="0.25">
      <c r="A30" s="2" t="s">
        <v>336</v>
      </c>
      <c r="B30" s="2" t="s">
        <v>321</v>
      </c>
      <c r="C30" s="2" t="s">
        <v>337</v>
      </c>
      <c r="D30" s="2" t="s">
        <v>338</v>
      </c>
      <c r="E30" s="2" t="s">
        <v>323</v>
      </c>
      <c r="F30" s="2">
        <v>2023</v>
      </c>
      <c r="G30" s="2">
        <v>2023</v>
      </c>
      <c r="H30" s="2" t="s">
        <v>58</v>
      </c>
      <c r="I30" s="2" t="s">
        <v>97</v>
      </c>
      <c r="J30" s="2" t="s">
        <v>60</v>
      </c>
      <c r="K30" s="2" t="s">
        <v>137</v>
      </c>
      <c r="L30" s="2">
        <v>1</v>
      </c>
      <c r="M30" s="3">
        <v>1125000</v>
      </c>
      <c r="N30" s="3">
        <v>1520000</v>
      </c>
      <c r="O30" s="8" t="s">
        <v>63</v>
      </c>
      <c r="P30" s="3">
        <v>1070000</v>
      </c>
      <c r="Q30" s="3">
        <v>280000</v>
      </c>
      <c r="R30" s="3">
        <f>IF(V30="No",0,MAX(0,M30-Q30))</f>
        <v>845000</v>
      </c>
      <c r="S30" s="4">
        <v>10.7</v>
      </c>
      <c r="T30" s="2">
        <v>48</v>
      </c>
      <c r="U30" s="3">
        <f>IF(OR(R30&lt;=0,S30&lt;0,T30&lt;=0),"",IF(S30=0,R30/T30,-PMT(S30/1200,T30,R30)))</f>
        <v>21717</v>
      </c>
      <c r="V30" s="2" t="s">
        <v>63</v>
      </c>
      <c r="W30" s="5">
        <v>1498</v>
      </c>
      <c r="X30" s="2">
        <v>119</v>
      </c>
      <c r="Y30" s="4">
        <v>16.92</v>
      </c>
      <c r="Z30" s="5"/>
      <c r="AA30" s="6"/>
      <c r="AB30" s="2">
        <v>5</v>
      </c>
      <c r="AC30" s="2">
        <v>5</v>
      </c>
      <c r="AD30" s="2">
        <v>458</v>
      </c>
      <c r="AE30" s="2"/>
      <c r="AF30" s="2">
        <v>6</v>
      </c>
      <c r="AG30" s="2" t="s">
        <v>63</v>
      </c>
      <c r="AH30" s="2" t="s">
        <v>63</v>
      </c>
      <c r="AI30" s="2" t="s">
        <v>63</v>
      </c>
      <c r="AJ30" s="2" t="s">
        <v>64</v>
      </c>
      <c r="AK30" s="2" t="s">
        <v>84</v>
      </c>
      <c r="AL30" s="5">
        <v>24200</v>
      </c>
      <c r="AM30" s="2" t="s">
        <v>339</v>
      </c>
      <c r="AN30" s="2" t="s">
        <v>174</v>
      </c>
      <c r="AO30" s="2" t="s">
        <v>175</v>
      </c>
      <c r="AP30" s="2" t="s">
        <v>128</v>
      </c>
      <c r="AQ30" s="2" t="s">
        <v>153</v>
      </c>
      <c r="AR30" s="2" t="s">
        <v>89</v>
      </c>
      <c r="AS30" s="2" t="s">
        <v>62</v>
      </c>
      <c r="AT30" s="2" t="s">
        <v>63</v>
      </c>
      <c r="AU30" s="2" t="s">
        <v>62</v>
      </c>
      <c r="AV30" s="2" t="s">
        <v>340</v>
      </c>
      <c r="AW30" s="2" t="s">
        <v>341</v>
      </c>
      <c r="AX30" s="2" t="s">
        <v>92</v>
      </c>
      <c r="AY30" s="3">
        <v>9600</v>
      </c>
      <c r="AZ30" s="2" t="s">
        <v>76</v>
      </c>
      <c r="BA30" s="2"/>
    </row>
    <row r="31" ht="20" customHeight="1" spans="1:53" x14ac:dyDescent="0.25">
      <c r="A31" s="2" t="s">
        <v>342</v>
      </c>
      <c r="B31" s="2" t="s">
        <v>321</v>
      </c>
      <c r="C31" s="2" t="s">
        <v>343</v>
      </c>
      <c r="D31" s="2" t="s">
        <v>344</v>
      </c>
      <c r="E31" s="2" t="s">
        <v>345</v>
      </c>
      <c r="F31" s="2">
        <v>2017</v>
      </c>
      <c r="G31" s="2">
        <v>2017</v>
      </c>
      <c r="H31" s="2" t="s">
        <v>58</v>
      </c>
      <c r="I31" s="2" t="s">
        <v>149</v>
      </c>
      <c r="J31" s="2" t="s">
        <v>60</v>
      </c>
      <c r="K31" s="2" t="s">
        <v>137</v>
      </c>
      <c r="L31" s="2">
        <v>2</v>
      </c>
      <c r="M31" s="3">
        <v>315000</v>
      </c>
      <c r="N31" s="3">
        <v>845000</v>
      </c>
      <c r="O31" s="8" t="s">
        <v>63</v>
      </c>
      <c r="P31" s="3">
        <v>300000</v>
      </c>
      <c r="Q31" s="3">
        <v>80000</v>
      </c>
      <c r="R31" s="3">
        <f>IF(V31="No",0,MAX(0,M31-Q31))</f>
        <v>235000</v>
      </c>
      <c r="S31" s="4">
        <v>11.6</v>
      </c>
      <c r="T31" s="2">
        <v>60</v>
      </c>
      <c r="U31" s="3">
        <f>IF(OR(R31&lt;=0,S31&lt;0,T31&lt;=0),"",IF(S31=0,R31/T31,-PMT(S31/1200,T31,R31)))</f>
        <v>5180</v>
      </c>
      <c r="V31" s="2" t="s">
        <v>63</v>
      </c>
      <c r="W31" s="5">
        <v>1199</v>
      </c>
      <c r="X31" s="2">
        <v>89</v>
      </c>
      <c r="Y31" s="4">
        <v>19.46</v>
      </c>
      <c r="Z31" s="5"/>
      <c r="AA31" s="6"/>
      <c r="AB31" s="2">
        <v>5</v>
      </c>
      <c r="AC31" s="2">
        <v>4</v>
      </c>
      <c r="AD31" s="2">
        <v>416</v>
      </c>
      <c r="AE31" s="2"/>
      <c r="AF31" s="2">
        <v>6</v>
      </c>
      <c r="AG31" s="2" t="s">
        <v>63</v>
      </c>
      <c r="AH31" s="2" t="s">
        <v>63</v>
      </c>
      <c r="AI31" s="2" t="s">
        <v>63</v>
      </c>
      <c r="AJ31" s="2" t="s">
        <v>83</v>
      </c>
      <c r="AK31" s="2" t="s">
        <v>162</v>
      </c>
      <c r="AL31" s="7">
        <v>87900</v>
      </c>
      <c r="AM31" s="2" t="s">
        <v>346</v>
      </c>
      <c r="AN31" s="2" t="s">
        <v>185</v>
      </c>
      <c r="AO31" s="2" t="s">
        <v>186</v>
      </c>
      <c r="AP31" s="2" t="s">
        <v>141</v>
      </c>
      <c r="AQ31" s="2" t="s">
        <v>166</v>
      </c>
      <c r="AR31" s="2" t="s">
        <v>89</v>
      </c>
      <c r="AS31" s="2" t="s">
        <v>63</v>
      </c>
      <c r="AT31" s="2" t="s">
        <v>62</v>
      </c>
      <c r="AU31" s="2" t="s">
        <v>62</v>
      </c>
      <c r="AV31" s="2" t="s">
        <v>347</v>
      </c>
      <c r="AW31" s="2" t="s">
        <v>348</v>
      </c>
      <c r="AX31" s="2" t="s">
        <v>120</v>
      </c>
      <c r="AY31" s="3">
        <v>9700</v>
      </c>
      <c r="AZ31" s="2" t="s">
        <v>76</v>
      </c>
      <c r="BA31" s="2"/>
    </row>
    <row r="32" ht="20" customHeight="1" spans="1:53" x14ac:dyDescent="0.25">
      <c r="A32" s="2" t="s">
        <v>349</v>
      </c>
      <c r="B32" s="2" t="s">
        <v>350</v>
      </c>
      <c r="C32" s="2" t="s">
        <v>351</v>
      </c>
      <c r="D32" s="2" t="s">
        <v>352</v>
      </c>
      <c r="E32" s="2" t="s">
        <v>353</v>
      </c>
      <c r="F32" s="2">
        <v>2025</v>
      </c>
      <c r="G32" s="2">
        <v>2026</v>
      </c>
      <c r="H32" s="2" t="s">
        <v>58</v>
      </c>
      <c r="I32" s="2" t="s">
        <v>125</v>
      </c>
      <c r="J32" s="2" t="s">
        <v>136</v>
      </c>
      <c r="K32" s="2" t="s">
        <v>137</v>
      </c>
      <c r="L32" s="2">
        <v>1</v>
      </c>
      <c r="M32" s="3">
        <v>2735000</v>
      </c>
      <c r="N32" s="3">
        <v>3020000</v>
      </c>
      <c r="O32" s="2" t="s">
        <v>62</v>
      </c>
      <c r="P32" s="3">
        <v>2735000</v>
      </c>
      <c r="Q32" s="3">
        <v>685000</v>
      </c>
      <c r="R32" s="3">
        <f>IF(V32="No",0,MAX(0,M32-Q32))</f>
        <v>2050000</v>
      </c>
      <c r="S32" s="4">
        <v>10.4</v>
      </c>
      <c r="T32" s="2">
        <v>36</v>
      </c>
      <c r="U32" s="3">
        <f>IF(OR(R32&lt;=0,S32&lt;0,T32&lt;=0),"",IF(S32=0,R32/T32,-PMT(S32/1200,T32,R32)))</f>
        <v>66533</v>
      </c>
      <c r="V32" s="2" t="s">
        <v>63</v>
      </c>
      <c r="W32" s="5">
        <v>1987</v>
      </c>
      <c r="X32" s="2">
        <v>184</v>
      </c>
      <c r="Y32" s="4">
        <v>23.24</v>
      </c>
      <c r="Z32" s="5"/>
      <c r="AA32" s="6"/>
      <c r="AB32" s="2">
        <v>7</v>
      </c>
      <c r="AC32" s="2">
        <v>5</v>
      </c>
      <c r="AD32" s="2">
        <v>300</v>
      </c>
      <c r="AE32" s="2" t="s">
        <v>138</v>
      </c>
      <c r="AF32" s="2">
        <v>6</v>
      </c>
      <c r="AG32" s="2" t="s">
        <v>63</v>
      </c>
      <c r="AH32" s="2" t="s">
        <v>63</v>
      </c>
      <c r="AI32" s="2" t="s">
        <v>63</v>
      </c>
      <c r="AJ32" s="2" t="s">
        <v>100</v>
      </c>
      <c r="AK32" s="2" t="s">
        <v>84</v>
      </c>
      <c r="AL32" s="5">
        <v>8100</v>
      </c>
      <c r="AM32" s="2" t="s">
        <v>354</v>
      </c>
      <c r="AN32" s="2" t="s">
        <v>67</v>
      </c>
      <c r="AO32" s="2" t="s">
        <v>68</v>
      </c>
      <c r="AP32" s="2" t="s">
        <v>69</v>
      </c>
      <c r="AQ32" s="2" t="s">
        <v>176</v>
      </c>
      <c r="AR32" s="2" t="s">
        <v>71</v>
      </c>
      <c r="AS32" s="2" t="s">
        <v>63</v>
      </c>
      <c r="AT32" s="2" t="s">
        <v>63</v>
      </c>
      <c r="AU32" s="2" t="s">
        <v>72</v>
      </c>
      <c r="AV32" s="2" t="s">
        <v>355</v>
      </c>
      <c r="AW32" s="2" t="s">
        <v>356</v>
      </c>
      <c r="AX32" s="2" t="s">
        <v>92</v>
      </c>
      <c r="AY32" s="3">
        <v>10600</v>
      </c>
      <c r="AZ32" s="2" t="s">
        <v>76</v>
      </c>
      <c r="BA32" s="2"/>
    </row>
    <row r="33" ht="20" customHeight="1" spans="1:53" x14ac:dyDescent="0.25">
      <c r="A33" s="2" t="s">
        <v>357</v>
      </c>
      <c r="B33" s="2" t="s">
        <v>350</v>
      </c>
      <c r="C33" s="2" t="s">
        <v>358</v>
      </c>
      <c r="D33" s="2" t="s">
        <v>359</v>
      </c>
      <c r="E33" s="2" t="s">
        <v>360</v>
      </c>
      <c r="F33" s="2">
        <v>2019</v>
      </c>
      <c r="G33" s="2">
        <v>2019</v>
      </c>
      <c r="H33" s="2" t="s">
        <v>58</v>
      </c>
      <c r="I33" s="2" t="s">
        <v>97</v>
      </c>
      <c r="J33" s="2" t="s">
        <v>172</v>
      </c>
      <c r="K33" s="2" t="s">
        <v>98</v>
      </c>
      <c r="L33" s="2">
        <v>1</v>
      </c>
      <c r="M33" s="3">
        <v>1780000</v>
      </c>
      <c r="N33" s="3">
        <v>3930000</v>
      </c>
      <c r="O33" s="8" t="s">
        <v>63</v>
      </c>
      <c r="P33" s="3">
        <v>1690000</v>
      </c>
      <c r="Q33" s="3">
        <v>445000</v>
      </c>
      <c r="R33" s="3">
        <f>IF(V33="No",0,MAX(0,M33-Q33))</f>
        <v>1335000</v>
      </c>
      <c r="S33" s="4">
        <v>11.3</v>
      </c>
      <c r="T33" s="2">
        <v>48</v>
      </c>
      <c r="U33" s="3">
        <f>IF(OR(R33&lt;=0,S33&lt;0,T33&lt;=0),"",IF(S33=0,R33/T33,-PMT(S33/1200,T33,R33)))</f>
        <v>34699</v>
      </c>
      <c r="V33" s="2" t="s">
        <v>63</v>
      </c>
      <c r="W33" s="5">
        <v>2755</v>
      </c>
      <c r="X33" s="2">
        <v>201</v>
      </c>
      <c r="Y33" s="4">
        <v>14.2</v>
      </c>
      <c r="Z33" s="5"/>
      <c r="AA33" s="6"/>
      <c r="AB33" s="2">
        <v>7</v>
      </c>
      <c r="AC33" s="2">
        <v>5</v>
      </c>
      <c r="AD33" s="2">
        <v>296</v>
      </c>
      <c r="AE33" s="2" t="s">
        <v>324</v>
      </c>
      <c r="AF33" s="2">
        <v>7</v>
      </c>
      <c r="AG33" s="2" t="s">
        <v>63</v>
      </c>
      <c r="AH33" s="2" t="s">
        <v>63</v>
      </c>
      <c r="AI33" s="2" t="s">
        <v>63</v>
      </c>
      <c r="AJ33" s="2" t="s">
        <v>113</v>
      </c>
      <c r="AK33" s="2" t="s">
        <v>65</v>
      </c>
      <c r="AL33" s="7">
        <v>97000</v>
      </c>
      <c r="AM33" s="2" t="s">
        <v>361</v>
      </c>
      <c r="AN33" s="2" t="s">
        <v>86</v>
      </c>
      <c r="AO33" s="2" t="s">
        <v>87</v>
      </c>
      <c r="AP33" s="2" t="s">
        <v>69</v>
      </c>
      <c r="AQ33" s="2" t="s">
        <v>187</v>
      </c>
      <c r="AR33" s="2" t="s">
        <v>89</v>
      </c>
      <c r="AS33" s="2" t="s">
        <v>63</v>
      </c>
      <c r="AT33" s="2" t="s">
        <v>62</v>
      </c>
      <c r="AU33" s="2" t="s">
        <v>62</v>
      </c>
      <c r="AV33" s="2" t="s">
        <v>362</v>
      </c>
      <c r="AW33" s="2" t="s">
        <v>363</v>
      </c>
      <c r="AX33" s="2" t="s">
        <v>335</v>
      </c>
      <c r="AY33" s="3">
        <v>18600</v>
      </c>
      <c r="AZ33" s="2" t="s">
        <v>76</v>
      </c>
      <c r="BA33" s="2"/>
    </row>
    <row r="34" ht="20" customHeight="1" spans="1:53" x14ac:dyDescent="0.25">
      <c r="A34" s="2" t="s">
        <v>364</v>
      </c>
      <c r="B34" s="2" t="s">
        <v>350</v>
      </c>
      <c r="C34" s="2" t="s">
        <v>365</v>
      </c>
      <c r="D34" s="2" t="s">
        <v>366</v>
      </c>
      <c r="E34" s="2" t="s">
        <v>367</v>
      </c>
      <c r="F34" s="2">
        <v>2023</v>
      </c>
      <c r="G34" s="2">
        <v>2023</v>
      </c>
      <c r="H34" s="2" t="s">
        <v>58</v>
      </c>
      <c r="I34" s="2" t="s">
        <v>97</v>
      </c>
      <c r="J34" s="2" t="s">
        <v>136</v>
      </c>
      <c r="K34" s="2" t="s">
        <v>137</v>
      </c>
      <c r="L34" s="2">
        <v>1</v>
      </c>
      <c r="M34" s="3">
        <v>1385000</v>
      </c>
      <c r="N34" s="3">
        <v>1870000</v>
      </c>
      <c r="O34" s="8" t="s">
        <v>63</v>
      </c>
      <c r="P34" s="3">
        <v>1330000</v>
      </c>
      <c r="Q34" s="3">
        <v>345000</v>
      </c>
      <c r="R34" s="3">
        <f>IF(V34="No",0,MAX(0,M34-Q34))</f>
        <v>1040000</v>
      </c>
      <c r="S34" s="4">
        <v>10.7</v>
      </c>
      <c r="T34" s="2">
        <v>60</v>
      </c>
      <c r="U34" s="3">
        <f>IF(OR(R34&lt;=0,S34&lt;0,T34&lt;=0),"",IF(S34=0,R34/T34,-PMT(S34/1200,T34,R34)))</f>
        <v>22457</v>
      </c>
      <c r="V34" s="2" t="s">
        <v>63</v>
      </c>
      <c r="W34" s="5">
        <v>1490</v>
      </c>
      <c r="X34" s="2">
        <v>114</v>
      </c>
      <c r="Y34" s="4">
        <v>27.97</v>
      </c>
      <c r="Z34" s="5"/>
      <c r="AA34" s="6"/>
      <c r="AB34" s="2">
        <v>5</v>
      </c>
      <c r="AC34" s="2">
        <v>5</v>
      </c>
      <c r="AD34" s="2">
        <v>265</v>
      </c>
      <c r="AE34" s="2"/>
      <c r="AF34" s="2">
        <v>6</v>
      </c>
      <c r="AG34" s="2" t="s">
        <v>63</v>
      </c>
      <c r="AH34" s="2" t="s">
        <v>63</v>
      </c>
      <c r="AI34" s="2" t="s">
        <v>63</v>
      </c>
      <c r="AJ34" s="2" t="s">
        <v>64</v>
      </c>
      <c r="AK34" s="2" t="s">
        <v>84</v>
      </c>
      <c r="AL34" s="5">
        <v>27600</v>
      </c>
      <c r="AM34" s="2" t="s">
        <v>368</v>
      </c>
      <c r="AN34" s="2" t="s">
        <v>103</v>
      </c>
      <c r="AO34" s="2" t="s">
        <v>104</v>
      </c>
      <c r="AP34" s="2" t="s">
        <v>69</v>
      </c>
      <c r="AQ34" s="2" t="s">
        <v>194</v>
      </c>
      <c r="AR34" s="2" t="s">
        <v>89</v>
      </c>
      <c r="AS34" s="2" t="s">
        <v>63</v>
      </c>
      <c r="AT34" s="2" t="s">
        <v>63</v>
      </c>
      <c r="AU34" s="2" t="s">
        <v>62</v>
      </c>
      <c r="AV34" s="2" t="s">
        <v>369</v>
      </c>
      <c r="AW34" s="2" t="s">
        <v>370</v>
      </c>
      <c r="AX34" s="2" t="s">
        <v>92</v>
      </c>
      <c r="AY34" s="3">
        <v>10000</v>
      </c>
      <c r="AZ34" s="2" t="s">
        <v>76</v>
      </c>
      <c r="BA34" s="2"/>
    </row>
    <row r="35" ht="20" customHeight="1" spans="1:53" x14ac:dyDescent="0.25">
      <c r="A35" s="2" t="s">
        <v>371</v>
      </c>
      <c r="B35" s="2" t="s">
        <v>350</v>
      </c>
      <c r="C35" s="2" t="s">
        <v>372</v>
      </c>
      <c r="D35" s="2" t="s">
        <v>373</v>
      </c>
      <c r="E35" s="2" t="s">
        <v>374</v>
      </c>
      <c r="F35" s="2">
        <v>2021</v>
      </c>
      <c r="G35" s="2">
        <v>2021</v>
      </c>
      <c r="H35" s="2" t="s">
        <v>58</v>
      </c>
      <c r="I35" s="2" t="s">
        <v>59</v>
      </c>
      <c r="J35" s="2" t="s">
        <v>60</v>
      </c>
      <c r="K35" s="2" t="s">
        <v>81</v>
      </c>
      <c r="L35" s="2">
        <v>2</v>
      </c>
      <c r="M35" s="3">
        <v>530000</v>
      </c>
      <c r="N35" s="3">
        <v>875000</v>
      </c>
      <c r="O35" s="2" t="s">
        <v>62</v>
      </c>
      <c r="P35" s="3">
        <v>530000</v>
      </c>
      <c r="Q35" s="3">
        <v>135000</v>
      </c>
      <c r="R35" s="3">
        <f>IF(V35="No",0,MAX(0,M35-Q35))</f>
        <v>395000</v>
      </c>
      <c r="S35" s="4">
        <v>11</v>
      </c>
      <c r="T35" s="2">
        <v>36</v>
      </c>
      <c r="U35" s="3">
        <f>IF(OR(R35&lt;=0,S35&lt;0,T35&lt;=0),"",IF(S35=0,R35/T35,-PMT(S35/1200,T35,R35)))</f>
        <v>12932</v>
      </c>
      <c r="V35" s="2" t="s">
        <v>63</v>
      </c>
      <c r="W35" s="5">
        <v>1197</v>
      </c>
      <c r="X35" s="2">
        <v>89</v>
      </c>
      <c r="Y35" s="4">
        <v>22.94</v>
      </c>
      <c r="Z35" s="5"/>
      <c r="AA35" s="6"/>
      <c r="AB35" s="2">
        <v>5</v>
      </c>
      <c r="AC35" s="2">
        <v>5</v>
      </c>
      <c r="AD35" s="2">
        <v>318</v>
      </c>
      <c r="AE35" s="2"/>
      <c r="AF35" s="2">
        <v>6</v>
      </c>
      <c r="AG35" s="2" t="s">
        <v>63</v>
      </c>
      <c r="AH35" s="2" t="s">
        <v>63</v>
      </c>
      <c r="AI35" s="2" t="s">
        <v>63</v>
      </c>
      <c r="AJ35" s="2" t="s">
        <v>83</v>
      </c>
      <c r="AK35" s="2" t="s">
        <v>101</v>
      </c>
      <c r="AL35" s="5">
        <v>45500</v>
      </c>
      <c r="AM35" s="2" t="s">
        <v>375</v>
      </c>
      <c r="AN35" s="2" t="s">
        <v>115</v>
      </c>
      <c r="AO35" s="2" t="s">
        <v>116</v>
      </c>
      <c r="AP35" s="2" t="s">
        <v>69</v>
      </c>
      <c r="AQ35" s="2" t="s">
        <v>203</v>
      </c>
      <c r="AR35" s="2" t="s">
        <v>71</v>
      </c>
      <c r="AS35" s="2" t="s">
        <v>63</v>
      </c>
      <c r="AT35" s="2" t="s">
        <v>62</v>
      </c>
      <c r="AU35" s="2" t="s">
        <v>62</v>
      </c>
      <c r="AV35" s="2" t="s">
        <v>376</v>
      </c>
      <c r="AW35" s="2" t="s">
        <v>377</v>
      </c>
      <c r="AX35" s="2" t="s">
        <v>75</v>
      </c>
      <c r="AY35" s="3">
        <v>7800</v>
      </c>
      <c r="AZ35" s="2" t="s">
        <v>76</v>
      </c>
      <c r="BA35" s="2"/>
    </row>
    <row r="36" ht="20" customHeight="1" spans="1:53" x14ac:dyDescent="0.25">
      <c r="A36" s="2" t="s">
        <v>378</v>
      </c>
      <c r="B36" s="2" t="s">
        <v>379</v>
      </c>
      <c r="C36" s="2" t="s">
        <v>380</v>
      </c>
      <c r="D36" s="2" t="s">
        <v>381</v>
      </c>
      <c r="E36" s="2" t="s">
        <v>382</v>
      </c>
      <c r="F36" s="2">
        <v>2016</v>
      </c>
      <c r="G36" s="2">
        <v>2016</v>
      </c>
      <c r="H36" s="2" t="s">
        <v>58</v>
      </c>
      <c r="I36" s="2" t="s">
        <v>97</v>
      </c>
      <c r="J36" s="2" t="s">
        <v>60</v>
      </c>
      <c r="K36" s="2" t="s">
        <v>161</v>
      </c>
      <c r="L36" s="2">
        <v>2</v>
      </c>
      <c r="M36" s="3">
        <v>510000</v>
      </c>
      <c r="N36" s="3">
        <v>1525000</v>
      </c>
      <c r="O36" s="8" t="s">
        <v>63</v>
      </c>
      <c r="P36" s="3">
        <v>485000</v>
      </c>
      <c r="Q36" s="3">
        <v>130000</v>
      </c>
      <c r="R36" s="3">
        <f>IF(V36="No",0,MAX(0,M36-Q36))</f>
        <v>380000</v>
      </c>
      <c r="S36" s="4">
        <v>11.75</v>
      </c>
      <c r="T36" s="2">
        <v>48</v>
      </c>
      <c r="U36" s="3">
        <f>IF(OR(R36&lt;=0,S36&lt;0,T36&lt;=0),"",IF(S36=0,R36/T36,-PMT(S36/1200,T36,R36)))</f>
        <v>9960</v>
      </c>
      <c r="V36" s="2" t="s">
        <v>63</v>
      </c>
      <c r="W36" s="5">
        <v>1482</v>
      </c>
      <c r="X36" s="2">
        <v>158</v>
      </c>
      <c r="Y36" s="4">
        <v>17.9</v>
      </c>
      <c r="Z36" s="5"/>
      <c r="AA36" s="6"/>
      <c r="AB36" s="2">
        <v>5</v>
      </c>
      <c r="AC36" s="2">
        <v>5</v>
      </c>
      <c r="AD36" s="2">
        <v>433</v>
      </c>
      <c r="AE36" s="2"/>
      <c r="AF36" s="2">
        <v>6</v>
      </c>
      <c r="AG36" s="2" t="s">
        <v>63</v>
      </c>
      <c r="AH36" s="2" t="s">
        <v>63</v>
      </c>
      <c r="AI36" s="2" t="s">
        <v>63</v>
      </c>
      <c r="AJ36" s="2" t="s">
        <v>100</v>
      </c>
      <c r="AK36" s="2" t="s">
        <v>65</v>
      </c>
      <c r="AL36" s="7">
        <v>95600</v>
      </c>
      <c r="AM36" s="2" t="s">
        <v>383</v>
      </c>
      <c r="AN36" s="2" t="s">
        <v>127</v>
      </c>
      <c r="AO36" s="2" t="s">
        <v>127</v>
      </c>
      <c r="AP36" s="2" t="s">
        <v>128</v>
      </c>
      <c r="AQ36" s="2" t="s">
        <v>213</v>
      </c>
      <c r="AR36" s="2" t="s">
        <v>89</v>
      </c>
      <c r="AS36" s="2" t="s">
        <v>63</v>
      </c>
      <c r="AT36" s="2" t="s">
        <v>62</v>
      </c>
      <c r="AU36" s="2" t="s">
        <v>62</v>
      </c>
      <c r="AV36" s="2" t="s">
        <v>384</v>
      </c>
      <c r="AW36" s="2" t="s">
        <v>385</v>
      </c>
      <c r="AX36" s="2" t="s">
        <v>92</v>
      </c>
      <c r="AY36" s="3">
        <v>13900</v>
      </c>
      <c r="AZ36" s="2" t="s">
        <v>76</v>
      </c>
      <c r="BA36" s="2"/>
    </row>
    <row r="37" ht="20" customHeight="1" spans="1:53" x14ac:dyDescent="0.25">
      <c r="A37" s="2" t="s">
        <v>386</v>
      </c>
      <c r="B37" s="2" t="s">
        <v>379</v>
      </c>
      <c r="C37" s="2" t="s">
        <v>387</v>
      </c>
      <c r="D37" s="2" t="s">
        <v>388</v>
      </c>
      <c r="E37" s="2" t="s">
        <v>389</v>
      </c>
      <c r="F37" s="2">
        <v>2023</v>
      </c>
      <c r="G37" s="2">
        <v>2024</v>
      </c>
      <c r="H37" s="2" t="s">
        <v>58</v>
      </c>
      <c r="I37" s="2" t="s">
        <v>97</v>
      </c>
      <c r="J37" s="2" t="s">
        <v>172</v>
      </c>
      <c r="K37" s="2" t="s">
        <v>98</v>
      </c>
      <c r="L37" s="2">
        <v>1</v>
      </c>
      <c r="M37" s="3">
        <v>1070000</v>
      </c>
      <c r="N37" s="3">
        <v>1445000</v>
      </c>
      <c r="O37" s="8" t="s">
        <v>63</v>
      </c>
      <c r="P37" s="3">
        <v>1025000</v>
      </c>
      <c r="Q37" s="3">
        <v>270000</v>
      </c>
      <c r="R37" s="3">
        <f>IF(V37="No",0,MAX(0,M37-Q37))</f>
        <v>800000</v>
      </c>
      <c r="S37" s="4">
        <v>10.7</v>
      </c>
      <c r="T37" s="2">
        <v>60</v>
      </c>
      <c r="U37" s="3">
        <f>IF(OR(R37&lt;=0,S37&lt;0,T37&lt;=0),"",IF(S37=0,R37/T37,-PMT(S37/1200,T37,R37)))</f>
        <v>17274</v>
      </c>
      <c r="V37" s="2" t="s">
        <v>63</v>
      </c>
      <c r="W37" s="5">
        <v>1493</v>
      </c>
      <c r="X37" s="2">
        <v>114</v>
      </c>
      <c r="Y37" s="4">
        <v>18.6</v>
      </c>
      <c r="Z37" s="5"/>
      <c r="AA37" s="6"/>
      <c r="AB37" s="2">
        <v>5</v>
      </c>
      <c r="AC37" s="2">
        <v>5</v>
      </c>
      <c r="AD37" s="2">
        <v>385</v>
      </c>
      <c r="AE37" s="2"/>
      <c r="AF37" s="2">
        <v>6</v>
      </c>
      <c r="AG37" s="2" t="s">
        <v>63</v>
      </c>
      <c r="AH37" s="2" t="s">
        <v>63</v>
      </c>
      <c r="AI37" s="2" t="s">
        <v>63</v>
      </c>
      <c r="AJ37" s="2" t="s">
        <v>113</v>
      </c>
      <c r="AK37" s="2" t="s">
        <v>101</v>
      </c>
      <c r="AL37" s="5">
        <v>36700</v>
      </c>
      <c r="AM37" s="2" t="s">
        <v>390</v>
      </c>
      <c r="AN37" s="2" t="s">
        <v>115</v>
      </c>
      <c r="AO37" s="2" t="s">
        <v>140</v>
      </c>
      <c r="AP37" s="2" t="s">
        <v>141</v>
      </c>
      <c r="AQ37" s="2" t="s">
        <v>221</v>
      </c>
      <c r="AR37" s="2" t="s">
        <v>89</v>
      </c>
      <c r="AS37" s="2" t="s">
        <v>62</v>
      </c>
      <c r="AT37" s="2" t="s">
        <v>63</v>
      </c>
      <c r="AU37" s="2" t="s">
        <v>62</v>
      </c>
      <c r="AV37" s="2" t="s">
        <v>391</v>
      </c>
      <c r="AW37" s="2" t="s">
        <v>392</v>
      </c>
      <c r="AX37" s="2" t="s">
        <v>75</v>
      </c>
      <c r="AY37" s="3">
        <v>9700</v>
      </c>
      <c r="AZ37" s="2" t="s">
        <v>76</v>
      </c>
      <c r="BA37" s="2"/>
    </row>
    <row r="38" ht="20" customHeight="1" spans="1:53" x14ac:dyDescent="0.25">
      <c r="A38" s="2" t="s">
        <v>393</v>
      </c>
      <c r="B38" s="2" t="s">
        <v>379</v>
      </c>
      <c r="C38" s="2" t="s">
        <v>394</v>
      </c>
      <c r="D38" s="2" t="s">
        <v>395</v>
      </c>
      <c r="E38" s="2" t="s">
        <v>396</v>
      </c>
      <c r="F38" s="2">
        <v>2018</v>
      </c>
      <c r="G38" s="2">
        <v>2018</v>
      </c>
      <c r="H38" s="2" t="s">
        <v>58</v>
      </c>
      <c r="I38" s="2" t="s">
        <v>125</v>
      </c>
      <c r="J38" s="2" t="s">
        <v>60</v>
      </c>
      <c r="K38" s="2" t="s">
        <v>161</v>
      </c>
      <c r="L38" s="2">
        <v>3</v>
      </c>
      <c r="M38" s="3">
        <v>635000</v>
      </c>
      <c r="N38" s="3">
        <v>1555000</v>
      </c>
      <c r="O38" s="2" t="s">
        <v>62</v>
      </c>
      <c r="P38" s="3">
        <v>635000</v>
      </c>
      <c r="Q38" s="3">
        <v>160000</v>
      </c>
      <c r="R38" s="3">
        <f>IF(V38="No",0,MAX(0,M38-Q38))</f>
        <v>475000</v>
      </c>
      <c r="S38" s="4">
        <v>11.45</v>
      </c>
      <c r="T38" s="2">
        <v>36</v>
      </c>
      <c r="U38" s="3">
        <f>IF(OR(R38&lt;=0,S38&lt;0,T38&lt;=0),"",IF(S38=0,R38/T38,-PMT(S38/1200,T38,R38)))</f>
        <v>15652</v>
      </c>
      <c r="V38" s="2" t="s">
        <v>63</v>
      </c>
      <c r="W38" s="5">
        <v>1482</v>
      </c>
      <c r="X38" s="2">
        <v>158</v>
      </c>
      <c r="Y38" s="4">
        <v>16.8</v>
      </c>
      <c r="Z38" s="5"/>
      <c r="AA38" s="6"/>
      <c r="AB38" s="2">
        <v>7</v>
      </c>
      <c r="AC38" s="2">
        <v>5</v>
      </c>
      <c r="AD38" s="2">
        <v>216</v>
      </c>
      <c r="AE38" s="2" t="s">
        <v>183</v>
      </c>
      <c r="AF38" s="2">
        <v>6</v>
      </c>
      <c r="AG38" s="2" t="s">
        <v>63</v>
      </c>
      <c r="AH38" s="2" t="s">
        <v>63</v>
      </c>
      <c r="AI38" s="2" t="s">
        <v>63</v>
      </c>
      <c r="AJ38" s="2" t="s">
        <v>64</v>
      </c>
      <c r="AK38" s="2" t="s">
        <v>65</v>
      </c>
      <c r="AL38" s="7">
        <v>95500</v>
      </c>
      <c r="AM38" s="2" t="s">
        <v>397</v>
      </c>
      <c r="AN38" s="2" t="s">
        <v>67</v>
      </c>
      <c r="AO38" s="2" t="s">
        <v>152</v>
      </c>
      <c r="AP38" s="2" t="s">
        <v>69</v>
      </c>
      <c r="AQ38" s="2" t="s">
        <v>231</v>
      </c>
      <c r="AR38" s="2" t="s">
        <v>71</v>
      </c>
      <c r="AS38" s="2" t="s">
        <v>63</v>
      </c>
      <c r="AT38" s="2" t="s">
        <v>62</v>
      </c>
      <c r="AU38" s="2" t="s">
        <v>62</v>
      </c>
      <c r="AV38" s="2" t="s">
        <v>398</v>
      </c>
      <c r="AW38" s="2" t="s">
        <v>399</v>
      </c>
      <c r="AX38" s="2" t="s">
        <v>92</v>
      </c>
      <c r="AY38" s="3">
        <v>12500</v>
      </c>
      <c r="AZ38" s="2" t="s">
        <v>76</v>
      </c>
      <c r="BA38" s="2"/>
    </row>
    <row r="39" ht="20" customHeight="1" spans="1:53" x14ac:dyDescent="0.25">
      <c r="A39" s="9" t="s">
        <v>400</v>
      </c>
      <c r="B39" s="9" t="s">
        <v>379</v>
      </c>
      <c r="C39" s="9" t="s">
        <v>401</v>
      </c>
      <c r="D39" s="9" t="s">
        <v>402</v>
      </c>
      <c r="E39" s="9" t="s">
        <v>403</v>
      </c>
      <c r="F39" s="9">
        <v>2024</v>
      </c>
      <c r="G39" s="9">
        <v>2024</v>
      </c>
      <c r="H39" s="9" t="s">
        <v>58</v>
      </c>
      <c r="I39" s="9" t="s">
        <v>97</v>
      </c>
      <c r="J39" s="9" t="s">
        <v>210</v>
      </c>
      <c r="K39" s="9" t="s">
        <v>98</v>
      </c>
      <c r="L39" s="9">
        <v>1</v>
      </c>
      <c r="M39" s="10">
        <v>5130000</v>
      </c>
      <c r="N39" s="10">
        <v>6265000</v>
      </c>
      <c r="O39" s="8" t="s">
        <v>63</v>
      </c>
      <c r="P39" s="10">
        <v>4875000</v>
      </c>
      <c r="Q39" s="10">
        <v>1285000</v>
      </c>
      <c r="R39" s="10">
        <f>IF(V39="No",0,MAX(0,M39-Q39))</f>
        <v>3845000</v>
      </c>
      <c r="S39" s="11">
        <v>10.55</v>
      </c>
      <c r="T39" s="9">
        <v>48</v>
      </c>
      <c r="U39" s="10">
        <f>IF(OR(R39&lt;=0,S39&lt;0,T39&lt;=0),"",IF(S39=0,R39/T39,-PMT(S39/1200,T39,R39)))</f>
        <v>98538</v>
      </c>
      <c r="V39" s="9" t="s">
        <v>63</v>
      </c>
      <c r="W39" s="12"/>
      <c r="X39" s="9">
        <v>321</v>
      </c>
      <c r="Y39" s="11"/>
      <c r="Z39" s="12">
        <v>708</v>
      </c>
      <c r="AA39" s="13">
        <v>77.4</v>
      </c>
      <c r="AB39" s="9">
        <v>5</v>
      </c>
      <c r="AC39" s="9">
        <v>5</v>
      </c>
      <c r="AD39" s="9">
        <v>490</v>
      </c>
      <c r="AE39" s="9" t="s">
        <v>211</v>
      </c>
      <c r="AF39" s="9">
        <v>8</v>
      </c>
      <c r="AG39" s="9" t="s">
        <v>63</v>
      </c>
      <c r="AH39" s="9" t="s">
        <v>63</v>
      </c>
      <c r="AI39" s="9" t="s">
        <v>63</v>
      </c>
      <c r="AJ39" s="9" t="s">
        <v>83</v>
      </c>
      <c r="AK39" s="9" t="s">
        <v>84</v>
      </c>
      <c r="AL39" s="12">
        <v>23500</v>
      </c>
      <c r="AM39" s="9" t="s">
        <v>404</v>
      </c>
      <c r="AN39" s="9" t="s">
        <v>164</v>
      </c>
      <c r="AO39" s="9" t="s">
        <v>165</v>
      </c>
      <c r="AP39" s="9" t="s">
        <v>69</v>
      </c>
      <c r="AQ39" s="9" t="s">
        <v>239</v>
      </c>
      <c r="AR39" s="9" t="s">
        <v>89</v>
      </c>
      <c r="AS39" s="9" t="s">
        <v>63</v>
      </c>
      <c r="AT39" s="9" t="s">
        <v>63</v>
      </c>
      <c r="AU39" s="9" t="s">
        <v>62</v>
      </c>
      <c r="AV39" s="9" t="s">
        <v>405</v>
      </c>
      <c r="AW39" s="9" t="s">
        <v>406</v>
      </c>
      <c r="AX39" s="9" t="s">
        <v>197</v>
      </c>
      <c r="AY39" s="10">
        <v>7800</v>
      </c>
      <c r="AZ39" s="9" t="s">
        <v>76</v>
      </c>
      <c r="BA39" s="9"/>
    </row>
    <row r="40" ht="20" customHeight="1" spans="1:53" x14ac:dyDescent="0.25">
      <c r="A40" s="2" t="s">
        <v>407</v>
      </c>
      <c r="B40" s="2" t="s">
        <v>408</v>
      </c>
      <c r="C40" s="2" t="s">
        <v>409</v>
      </c>
      <c r="D40" s="2" t="s">
        <v>410</v>
      </c>
      <c r="E40" s="2" t="s">
        <v>411</v>
      </c>
      <c r="F40" s="2">
        <v>2020</v>
      </c>
      <c r="G40" s="2">
        <v>2020</v>
      </c>
      <c r="H40" s="2" t="s">
        <v>58</v>
      </c>
      <c r="I40" s="2" t="s">
        <v>97</v>
      </c>
      <c r="J40" s="2" t="s">
        <v>60</v>
      </c>
      <c r="K40" s="2" t="s">
        <v>137</v>
      </c>
      <c r="L40" s="2">
        <v>1</v>
      </c>
      <c r="M40" s="3">
        <v>525000</v>
      </c>
      <c r="N40" s="3">
        <v>955000</v>
      </c>
      <c r="O40" s="8" t="s">
        <v>63</v>
      </c>
      <c r="P40" s="3">
        <v>505000</v>
      </c>
      <c r="Q40" s="3">
        <v>130000</v>
      </c>
      <c r="R40" s="3">
        <f>IF(V40="No",0,MAX(0,M40-Q40))</f>
        <v>395000</v>
      </c>
      <c r="S40" s="4">
        <v>11.15</v>
      </c>
      <c r="T40" s="2">
        <v>60</v>
      </c>
      <c r="U40" s="3">
        <f>IF(OR(R40&lt;=0,S40&lt;0,T40&lt;=0),"",IF(S40=0,R40/T40,-PMT(S40/1200,T40,R40)))</f>
        <v>8618</v>
      </c>
      <c r="V40" s="2" t="s">
        <v>63</v>
      </c>
      <c r="W40" s="5">
        <v>999</v>
      </c>
      <c r="X40" s="2">
        <v>99</v>
      </c>
      <c r="Y40" s="4">
        <v>18.24</v>
      </c>
      <c r="Z40" s="5"/>
      <c r="AA40" s="6"/>
      <c r="AB40" s="2">
        <v>5</v>
      </c>
      <c r="AC40" s="2">
        <v>5</v>
      </c>
      <c r="AD40" s="2">
        <v>405</v>
      </c>
      <c r="AE40" s="2" t="s">
        <v>99</v>
      </c>
      <c r="AF40" s="2">
        <v>4</v>
      </c>
      <c r="AG40" s="2" t="s">
        <v>63</v>
      </c>
      <c r="AH40" s="2" t="s">
        <v>63</v>
      </c>
      <c r="AI40" s="2" t="s">
        <v>63</v>
      </c>
      <c r="AJ40" s="2" t="s">
        <v>100</v>
      </c>
      <c r="AK40" s="2" t="s">
        <v>162</v>
      </c>
      <c r="AL40" s="5">
        <v>71300</v>
      </c>
      <c r="AM40" s="2" t="s">
        <v>412</v>
      </c>
      <c r="AN40" s="2" t="s">
        <v>174</v>
      </c>
      <c r="AO40" s="2" t="s">
        <v>175</v>
      </c>
      <c r="AP40" s="2" t="s">
        <v>69</v>
      </c>
      <c r="AQ40" s="2" t="s">
        <v>247</v>
      </c>
      <c r="AR40" s="2" t="s">
        <v>89</v>
      </c>
      <c r="AS40" s="2" t="s">
        <v>63</v>
      </c>
      <c r="AT40" s="2" t="s">
        <v>62</v>
      </c>
      <c r="AU40" s="2" t="s">
        <v>62</v>
      </c>
      <c r="AV40" s="2" t="s">
        <v>413</v>
      </c>
      <c r="AW40" s="2" t="s">
        <v>414</v>
      </c>
      <c r="AX40" s="2" t="s">
        <v>120</v>
      </c>
      <c r="AY40" s="3">
        <v>8900</v>
      </c>
      <c r="AZ40" s="2" t="s">
        <v>76</v>
      </c>
      <c r="BA40" s="2"/>
    </row>
    <row r="41" ht="20" customHeight="1" spans="1:53" x14ac:dyDescent="0.25">
      <c r="A41" s="2" t="s">
        <v>415</v>
      </c>
      <c r="B41" s="2" t="s">
        <v>408</v>
      </c>
      <c r="C41" s="2" t="s">
        <v>416</v>
      </c>
      <c r="D41" s="2" t="s">
        <v>417</v>
      </c>
      <c r="E41" s="2" t="s">
        <v>418</v>
      </c>
      <c r="F41" s="2">
        <v>2015</v>
      </c>
      <c r="G41" s="2">
        <v>2015</v>
      </c>
      <c r="H41" s="2" t="s">
        <v>58</v>
      </c>
      <c r="I41" s="2" t="s">
        <v>125</v>
      </c>
      <c r="J41" s="2" t="s">
        <v>60</v>
      </c>
      <c r="K41" s="2" t="s">
        <v>81</v>
      </c>
      <c r="L41" s="2">
        <v>2</v>
      </c>
      <c r="M41" s="3">
        <v>195000</v>
      </c>
      <c r="N41" s="3">
        <v>650000</v>
      </c>
      <c r="O41" s="2" t="s">
        <v>62</v>
      </c>
      <c r="P41" s="3">
        <v>195000</v>
      </c>
      <c r="Q41" s="3">
        <v>50000</v>
      </c>
      <c r="R41" s="3">
        <f>IF(V41="No",0,MAX(0,M41-Q41))</f>
        <v>0</v>
      </c>
      <c r="S41" s="4">
        <v>0</v>
      </c>
      <c r="T41" s="2">
        <v>0</v>
      </c>
      <c r="U41" s="3" t="str">
        <f>IF(OR(R41&lt;=0,S41&lt;0,T41&lt;=0),"",IF(S41=0,R41/T41,-PMT(S41/1200,T41,R41)))</f>
        <v/>
      </c>
      <c r="V41" s="2" t="s">
        <v>62</v>
      </c>
      <c r="W41" s="5">
        <v>999</v>
      </c>
      <c r="X41" s="2">
        <v>71</v>
      </c>
      <c r="Y41" s="4">
        <v>18.2</v>
      </c>
      <c r="Z41" s="5"/>
      <c r="AA41" s="6"/>
      <c r="AB41" s="2">
        <v>7</v>
      </c>
      <c r="AC41" s="2">
        <v>5</v>
      </c>
      <c r="AD41" s="2">
        <v>84</v>
      </c>
      <c r="AE41" s="2" t="s">
        <v>99</v>
      </c>
      <c r="AF41" s="2">
        <v>4</v>
      </c>
      <c r="AG41" s="2" t="s">
        <v>63</v>
      </c>
      <c r="AH41" s="2" t="s">
        <v>63</v>
      </c>
      <c r="AI41" s="2" t="s">
        <v>63</v>
      </c>
      <c r="AJ41" s="2" t="s">
        <v>113</v>
      </c>
      <c r="AK41" s="2" t="s">
        <v>162</v>
      </c>
      <c r="AL41" s="7">
        <v>92400</v>
      </c>
      <c r="AM41" s="2" t="s">
        <v>419</v>
      </c>
      <c r="AN41" s="2" t="s">
        <v>185</v>
      </c>
      <c r="AO41" s="2" t="s">
        <v>186</v>
      </c>
      <c r="AP41" s="2" t="s">
        <v>69</v>
      </c>
      <c r="AQ41" s="2" t="s">
        <v>255</v>
      </c>
      <c r="AR41" s="2" t="s">
        <v>71</v>
      </c>
      <c r="AS41" s="2" t="s">
        <v>63</v>
      </c>
      <c r="AT41" s="2" t="s">
        <v>62</v>
      </c>
      <c r="AU41" s="2" t="s">
        <v>62</v>
      </c>
      <c r="AV41" s="2" t="s">
        <v>420</v>
      </c>
      <c r="AW41" s="2" t="s">
        <v>421</v>
      </c>
      <c r="AX41" s="2" t="s">
        <v>92</v>
      </c>
      <c r="AY41" s="3">
        <v>9800</v>
      </c>
      <c r="AZ41" s="2" t="s">
        <v>76</v>
      </c>
      <c r="BA41" s="2"/>
    </row>
    <row r="42" ht="20" customHeight="1" spans="1:53" x14ac:dyDescent="0.25">
      <c r="A42" s="2" t="s">
        <v>422</v>
      </c>
      <c r="B42" s="2" t="s">
        <v>408</v>
      </c>
      <c r="C42" s="2" t="s">
        <v>423</v>
      </c>
      <c r="D42" s="2" t="s">
        <v>424</v>
      </c>
      <c r="E42" s="2" t="s">
        <v>425</v>
      </c>
      <c r="F42" s="2">
        <v>2022</v>
      </c>
      <c r="G42" s="2">
        <v>2023</v>
      </c>
      <c r="H42" s="2" t="s">
        <v>58</v>
      </c>
      <c r="I42" s="2" t="s">
        <v>59</v>
      </c>
      <c r="J42" s="2" t="s">
        <v>60</v>
      </c>
      <c r="K42" s="2" t="s">
        <v>81</v>
      </c>
      <c r="L42" s="2">
        <v>1</v>
      </c>
      <c r="M42" s="3">
        <v>390000</v>
      </c>
      <c r="N42" s="3">
        <v>580000</v>
      </c>
      <c r="O42" s="8" t="s">
        <v>63</v>
      </c>
      <c r="P42" s="3">
        <v>370000</v>
      </c>
      <c r="Q42" s="3">
        <v>100000</v>
      </c>
      <c r="R42" s="3">
        <f>IF(V42="No",0,MAX(0,M42-Q42))</f>
        <v>290000</v>
      </c>
      <c r="S42" s="4">
        <v>10.85</v>
      </c>
      <c r="T42" s="2">
        <v>48</v>
      </c>
      <c r="U42" s="3">
        <f>IF(OR(R42&lt;=0,S42&lt;0,T42&lt;=0),"",IF(S42=0,R42/T42,-PMT(S42/1200,T42,R42)))</f>
        <v>7474</v>
      </c>
      <c r="V42" s="2" t="s">
        <v>63</v>
      </c>
      <c r="W42" s="5">
        <v>999</v>
      </c>
      <c r="X42" s="2">
        <v>67</v>
      </c>
      <c r="Y42" s="4">
        <v>22.3</v>
      </c>
      <c r="Z42" s="5"/>
      <c r="AA42" s="6"/>
      <c r="AB42" s="2">
        <v>5</v>
      </c>
      <c r="AC42" s="2">
        <v>5</v>
      </c>
      <c r="AD42" s="2">
        <v>279</v>
      </c>
      <c r="AE42" s="2"/>
      <c r="AF42" s="2">
        <v>2</v>
      </c>
      <c r="AG42" s="2" t="s">
        <v>63</v>
      </c>
      <c r="AH42" s="2" t="s">
        <v>63</v>
      </c>
      <c r="AI42" s="2" t="s">
        <v>63</v>
      </c>
      <c r="AJ42" s="2" t="s">
        <v>64</v>
      </c>
      <c r="AK42" s="2" t="s">
        <v>101</v>
      </c>
      <c r="AL42" s="5">
        <v>31700</v>
      </c>
      <c r="AM42" s="2" t="s">
        <v>426</v>
      </c>
      <c r="AN42" s="2" t="s">
        <v>67</v>
      </c>
      <c r="AO42" s="2" t="s">
        <v>68</v>
      </c>
      <c r="AP42" s="2" t="s">
        <v>128</v>
      </c>
      <c r="AQ42" s="2" t="s">
        <v>263</v>
      </c>
      <c r="AR42" s="2" t="s">
        <v>89</v>
      </c>
      <c r="AS42" s="2" t="s">
        <v>63</v>
      </c>
      <c r="AT42" s="2" t="s">
        <v>63</v>
      </c>
      <c r="AU42" s="2" t="s">
        <v>62</v>
      </c>
      <c r="AV42" s="2" t="s">
        <v>427</v>
      </c>
      <c r="AW42" s="2" t="s">
        <v>428</v>
      </c>
      <c r="AX42" s="2" t="s">
        <v>120</v>
      </c>
      <c r="AY42" s="3">
        <v>6300</v>
      </c>
      <c r="AZ42" s="2" t="s">
        <v>76</v>
      </c>
      <c r="BA42" s="2"/>
    </row>
    <row r="43" ht="20" customHeight="1" spans="1:53" x14ac:dyDescent="0.25">
      <c r="A43" s="2" t="s">
        <v>429</v>
      </c>
      <c r="B43" s="2" t="s">
        <v>430</v>
      </c>
      <c r="C43" s="2" t="s">
        <v>431</v>
      </c>
      <c r="D43" s="2" t="s">
        <v>432</v>
      </c>
      <c r="E43" s="2" t="s">
        <v>433</v>
      </c>
      <c r="F43" s="2">
        <v>2017</v>
      </c>
      <c r="G43" s="2">
        <v>2017</v>
      </c>
      <c r="H43" s="2" t="s">
        <v>58</v>
      </c>
      <c r="I43" s="2" t="s">
        <v>149</v>
      </c>
      <c r="J43" s="2" t="s">
        <v>60</v>
      </c>
      <c r="K43" s="2" t="s">
        <v>161</v>
      </c>
      <c r="L43" s="2">
        <v>2</v>
      </c>
      <c r="M43" s="3">
        <v>615000</v>
      </c>
      <c r="N43" s="3">
        <v>1505000</v>
      </c>
      <c r="O43" s="8" t="s">
        <v>63</v>
      </c>
      <c r="P43" s="3">
        <v>590000</v>
      </c>
      <c r="Q43" s="3">
        <v>155000</v>
      </c>
      <c r="R43" s="3">
        <f>IF(V43="No",0,MAX(0,M43-Q43))</f>
        <v>460000</v>
      </c>
      <c r="S43" s="4">
        <v>11.6</v>
      </c>
      <c r="T43" s="2">
        <v>60</v>
      </c>
      <c r="U43" s="3">
        <f>IF(OR(R43&lt;=0,S43&lt;0,T43&lt;=0),"",IF(S43=0,R43/T43,-PMT(S43/1200,T43,R43)))</f>
        <v>10140</v>
      </c>
      <c r="V43" s="2" t="s">
        <v>63</v>
      </c>
      <c r="W43" s="5">
        <v>1498</v>
      </c>
      <c r="X43" s="2">
        <v>148</v>
      </c>
      <c r="Y43" s="4">
        <v>19.62</v>
      </c>
      <c r="Z43" s="5"/>
      <c r="AA43" s="6"/>
      <c r="AB43" s="2">
        <v>5</v>
      </c>
      <c r="AC43" s="2">
        <v>4</v>
      </c>
      <c r="AD43" s="2">
        <v>521</v>
      </c>
      <c r="AE43" s="2" t="s">
        <v>150</v>
      </c>
      <c r="AF43" s="2">
        <v>6</v>
      </c>
      <c r="AG43" s="2" t="s">
        <v>63</v>
      </c>
      <c r="AH43" s="2" t="s">
        <v>63</v>
      </c>
      <c r="AI43" s="2" t="s">
        <v>63</v>
      </c>
      <c r="AJ43" s="2" t="s">
        <v>83</v>
      </c>
      <c r="AK43" s="2" t="s">
        <v>162</v>
      </c>
      <c r="AL43" s="5">
        <v>69300</v>
      </c>
      <c r="AM43" s="2" t="s">
        <v>434</v>
      </c>
      <c r="AN43" s="2" t="s">
        <v>86</v>
      </c>
      <c r="AO43" s="2" t="s">
        <v>87</v>
      </c>
      <c r="AP43" s="2" t="s">
        <v>141</v>
      </c>
      <c r="AQ43" s="2" t="s">
        <v>271</v>
      </c>
      <c r="AR43" s="2" t="s">
        <v>89</v>
      </c>
      <c r="AS43" s="2" t="s">
        <v>63</v>
      </c>
      <c r="AT43" s="2" t="s">
        <v>62</v>
      </c>
      <c r="AU43" s="2" t="s">
        <v>62</v>
      </c>
      <c r="AV43" s="2" t="s">
        <v>435</v>
      </c>
      <c r="AW43" s="2" t="s">
        <v>436</v>
      </c>
      <c r="AX43" s="2" t="s">
        <v>197</v>
      </c>
      <c r="AY43" s="3">
        <v>14700</v>
      </c>
      <c r="AZ43" s="2" t="s">
        <v>76</v>
      </c>
      <c r="BA43" s="2"/>
    </row>
    <row r="44" ht="20" customHeight="1" spans="1:53" x14ac:dyDescent="0.25">
      <c r="A44" s="2" t="s">
        <v>437</v>
      </c>
      <c r="B44" s="2" t="s">
        <v>430</v>
      </c>
      <c r="C44" s="2" t="s">
        <v>438</v>
      </c>
      <c r="D44" s="2" t="s">
        <v>439</v>
      </c>
      <c r="E44" s="2" t="s">
        <v>440</v>
      </c>
      <c r="F44" s="2">
        <v>2024</v>
      </c>
      <c r="G44" s="2">
        <v>2024</v>
      </c>
      <c r="H44" s="2" t="s">
        <v>58</v>
      </c>
      <c r="I44" s="2" t="s">
        <v>97</v>
      </c>
      <c r="J44" s="2" t="s">
        <v>60</v>
      </c>
      <c r="K44" s="2" t="s">
        <v>161</v>
      </c>
      <c r="L44" s="2">
        <v>1</v>
      </c>
      <c r="M44" s="3">
        <v>1535000</v>
      </c>
      <c r="N44" s="3">
        <v>1875000</v>
      </c>
      <c r="O44" s="2" t="s">
        <v>62</v>
      </c>
      <c r="P44" s="3">
        <v>1535000</v>
      </c>
      <c r="Q44" s="3">
        <v>385000</v>
      </c>
      <c r="R44" s="3">
        <f>IF(V44="No",0,MAX(0,M44-Q44))</f>
        <v>1150000</v>
      </c>
      <c r="S44" s="4">
        <v>10.55</v>
      </c>
      <c r="T44" s="2">
        <v>36</v>
      </c>
      <c r="U44" s="3">
        <f>IF(OR(R44&lt;=0,S44&lt;0,T44&lt;=0),"",IF(S44=0,R44/T44,-PMT(S44/1200,T44,R44)))</f>
        <v>37405</v>
      </c>
      <c r="V44" s="2" t="s">
        <v>63</v>
      </c>
      <c r="W44" s="5">
        <v>1498</v>
      </c>
      <c r="X44" s="2">
        <v>148</v>
      </c>
      <c r="Y44" s="4">
        <v>19.01</v>
      </c>
      <c r="Z44" s="5"/>
      <c r="AA44" s="6"/>
      <c r="AB44" s="2">
        <v>5</v>
      </c>
      <c r="AC44" s="2">
        <v>5</v>
      </c>
      <c r="AD44" s="2">
        <v>385</v>
      </c>
      <c r="AE44" s="2" t="s">
        <v>150</v>
      </c>
      <c r="AF44" s="2">
        <v>6</v>
      </c>
      <c r="AG44" s="2" t="s">
        <v>63</v>
      </c>
      <c r="AH44" s="2" t="s">
        <v>63</v>
      </c>
      <c r="AI44" s="2" t="s">
        <v>63</v>
      </c>
      <c r="AJ44" s="2" t="s">
        <v>100</v>
      </c>
      <c r="AK44" s="2" t="s">
        <v>84</v>
      </c>
      <c r="AL44" s="5">
        <v>18600</v>
      </c>
      <c r="AM44" s="2" t="s">
        <v>441</v>
      </c>
      <c r="AN44" s="2" t="s">
        <v>103</v>
      </c>
      <c r="AO44" s="2" t="s">
        <v>104</v>
      </c>
      <c r="AP44" s="2" t="s">
        <v>69</v>
      </c>
      <c r="AQ44" s="2" t="s">
        <v>280</v>
      </c>
      <c r="AR44" s="2" t="s">
        <v>71</v>
      </c>
      <c r="AS44" s="2" t="s">
        <v>62</v>
      </c>
      <c r="AT44" s="2" t="s">
        <v>63</v>
      </c>
      <c r="AU44" s="2" t="s">
        <v>62</v>
      </c>
      <c r="AV44" s="2" t="s">
        <v>442</v>
      </c>
      <c r="AW44" s="2" t="s">
        <v>443</v>
      </c>
      <c r="AX44" s="2" t="s">
        <v>197</v>
      </c>
      <c r="AY44" s="3">
        <v>11900</v>
      </c>
      <c r="AZ44" s="2" t="s">
        <v>76</v>
      </c>
      <c r="BA44" s="2"/>
    </row>
    <row r="45" ht="20" customHeight="1" spans="1:53" x14ac:dyDescent="0.25">
      <c r="A45" s="2" t="s">
        <v>444</v>
      </c>
      <c r="B45" s="2" t="s">
        <v>445</v>
      </c>
      <c r="C45" s="2" t="s">
        <v>446</v>
      </c>
      <c r="D45" s="2" t="s">
        <v>447</v>
      </c>
      <c r="E45" s="2" t="s">
        <v>448</v>
      </c>
      <c r="F45" s="2">
        <v>2019</v>
      </c>
      <c r="G45" s="2">
        <v>2019</v>
      </c>
      <c r="H45" s="2" t="s">
        <v>58</v>
      </c>
      <c r="I45" s="2" t="s">
        <v>149</v>
      </c>
      <c r="J45" s="2" t="s">
        <v>60</v>
      </c>
      <c r="K45" s="2" t="s">
        <v>161</v>
      </c>
      <c r="L45" s="2">
        <v>1</v>
      </c>
      <c r="M45" s="3">
        <v>765000</v>
      </c>
      <c r="N45" s="3">
        <v>1540000</v>
      </c>
      <c r="O45" s="8" t="s">
        <v>63</v>
      </c>
      <c r="P45" s="3">
        <v>725000</v>
      </c>
      <c r="Q45" s="3">
        <v>190000</v>
      </c>
      <c r="R45" s="3">
        <f>IF(V45="No",0,MAX(0,M45-Q45))</f>
        <v>575000</v>
      </c>
      <c r="S45" s="4">
        <v>11.3</v>
      </c>
      <c r="T45" s="2">
        <v>48</v>
      </c>
      <c r="U45" s="3">
        <f>IF(OR(R45&lt;=0,S45&lt;0,T45&lt;=0),"",IF(S45=0,R45/T45,-PMT(S45/1200,T45,R45)))</f>
        <v>14945</v>
      </c>
      <c r="V45" s="2" t="s">
        <v>63</v>
      </c>
      <c r="W45" s="5">
        <v>1498</v>
      </c>
      <c r="X45" s="2">
        <v>148</v>
      </c>
      <c r="Y45" s="4">
        <v>19.36</v>
      </c>
      <c r="Z45" s="5"/>
      <c r="AA45" s="6"/>
      <c r="AB45" s="2">
        <v>5</v>
      </c>
      <c r="AC45" s="2">
        <v>4</v>
      </c>
      <c r="AD45" s="2">
        <v>521</v>
      </c>
      <c r="AE45" s="2" t="s">
        <v>150</v>
      </c>
      <c r="AF45" s="2">
        <v>6</v>
      </c>
      <c r="AG45" s="2" t="s">
        <v>63</v>
      </c>
      <c r="AH45" s="2" t="s">
        <v>63</v>
      </c>
      <c r="AI45" s="2" t="s">
        <v>63</v>
      </c>
      <c r="AJ45" s="2" t="s">
        <v>113</v>
      </c>
      <c r="AK45" s="2" t="s">
        <v>162</v>
      </c>
      <c r="AL45" s="5">
        <v>54200</v>
      </c>
      <c r="AM45" s="2" t="s">
        <v>449</v>
      </c>
      <c r="AN45" s="2" t="s">
        <v>115</v>
      </c>
      <c r="AO45" s="2" t="s">
        <v>116</v>
      </c>
      <c r="AP45" s="2" t="s">
        <v>69</v>
      </c>
      <c r="AQ45" s="2" t="s">
        <v>289</v>
      </c>
      <c r="AR45" s="2" t="s">
        <v>89</v>
      </c>
      <c r="AS45" s="2" t="s">
        <v>63</v>
      </c>
      <c r="AT45" s="2" t="s">
        <v>62</v>
      </c>
      <c r="AU45" s="2" t="s">
        <v>62</v>
      </c>
      <c r="AV45" s="2" t="s">
        <v>450</v>
      </c>
      <c r="AW45" s="2" t="s">
        <v>451</v>
      </c>
      <c r="AX45" s="2" t="s">
        <v>197</v>
      </c>
      <c r="AY45" s="3">
        <v>13600</v>
      </c>
      <c r="AZ45" s="2" t="s">
        <v>76</v>
      </c>
      <c r="BA45" s="2"/>
    </row>
    <row r="46" ht="20" customHeight="1" spans="1:53" x14ac:dyDescent="0.25">
      <c r="A46" s="2" t="s">
        <v>452</v>
      </c>
      <c r="B46" s="2" t="s">
        <v>445</v>
      </c>
      <c r="C46" s="2" t="s">
        <v>453</v>
      </c>
      <c r="D46" s="2" t="s">
        <v>454</v>
      </c>
      <c r="E46" s="2" t="s">
        <v>455</v>
      </c>
      <c r="F46" s="2">
        <v>2026</v>
      </c>
      <c r="G46" s="2">
        <v>2026</v>
      </c>
      <c r="H46" s="2" t="s">
        <v>171</v>
      </c>
      <c r="I46" s="2" t="s">
        <v>97</v>
      </c>
      <c r="J46" s="2" t="s">
        <v>60</v>
      </c>
      <c r="K46" s="2" t="s">
        <v>161</v>
      </c>
      <c r="L46" s="2">
        <v>0</v>
      </c>
      <c r="M46" s="3">
        <v>2049000</v>
      </c>
      <c r="N46" s="3">
        <v>2050000</v>
      </c>
      <c r="O46" s="8" t="s">
        <v>63</v>
      </c>
      <c r="P46" s="3">
        <v>1965000</v>
      </c>
      <c r="Q46" s="3">
        <v>410000</v>
      </c>
      <c r="R46" s="3">
        <f>IF(V46="No",0,MAX(0,M46-Q46))</f>
        <v>1639000</v>
      </c>
      <c r="S46" s="4">
        <v>8.95</v>
      </c>
      <c r="T46" s="2">
        <v>84</v>
      </c>
      <c r="U46" s="3">
        <f>IF(OR(R46&lt;=0,S46&lt;0,T46&lt;=0),"",IF(S46=0,R46/T46,-PMT(S46/1200,T46,R46)))</f>
        <v>26328</v>
      </c>
      <c r="V46" s="2" t="s">
        <v>63</v>
      </c>
      <c r="W46" s="5">
        <v>1498</v>
      </c>
      <c r="X46" s="2">
        <v>148</v>
      </c>
      <c r="Y46" s="4">
        <v>18.86</v>
      </c>
      <c r="Z46" s="5"/>
      <c r="AA46" s="6"/>
      <c r="AB46" s="2">
        <v>5</v>
      </c>
      <c r="AC46" s="2">
        <v>5</v>
      </c>
      <c r="AD46" s="2">
        <v>385</v>
      </c>
      <c r="AE46" s="2" t="s">
        <v>150</v>
      </c>
      <c r="AF46" s="2">
        <v>6</v>
      </c>
      <c r="AG46" s="2" t="s">
        <v>63</v>
      </c>
      <c r="AH46" s="2" t="s">
        <v>63</v>
      </c>
      <c r="AI46" s="2" t="s">
        <v>63</v>
      </c>
      <c r="AJ46" s="2" t="s">
        <v>64</v>
      </c>
      <c r="AK46" s="2" t="s">
        <v>171</v>
      </c>
      <c r="AL46" s="5">
        <v>59</v>
      </c>
      <c r="AM46" s="2" t="s">
        <v>456</v>
      </c>
      <c r="AN46" s="2" t="s">
        <v>127</v>
      </c>
      <c r="AO46" s="2" t="s">
        <v>127</v>
      </c>
      <c r="AP46" s="2" t="s">
        <v>69</v>
      </c>
      <c r="AQ46" s="2" t="s">
        <v>70</v>
      </c>
      <c r="AR46" s="2" t="s">
        <v>89</v>
      </c>
      <c r="AS46" s="2" t="s">
        <v>63</v>
      </c>
      <c r="AT46" s="2" t="s">
        <v>63</v>
      </c>
      <c r="AU46" s="2" t="s">
        <v>62</v>
      </c>
      <c r="AV46" s="2" t="s">
        <v>457</v>
      </c>
      <c r="AW46" s="2" t="s">
        <v>458</v>
      </c>
      <c r="AX46" s="2" t="s">
        <v>197</v>
      </c>
      <c r="AY46" s="3">
        <v>10900</v>
      </c>
      <c r="AZ46" s="2" t="s">
        <v>76</v>
      </c>
      <c r="BA46" s="2"/>
    </row>
    <row r="47" ht="20" customHeight="1" spans="1:53" x14ac:dyDescent="0.25">
      <c r="A47" s="2" t="s">
        <v>459</v>
      </c>
      <c r="B47" s="2" t="s">
        <v>445</v>
      </c>
      <c r="C47" s="2" t="s">
        <v>460</v>
      </c>
      <c r="D47" s="2" t="s">
        <v>461</v>
      </c>
      <c r="E47" s="2" t="s">
        <v>462</v>
      </c>
      <c r="F47" s="2">
        <v>2024</v>
      </c>
      <c r="G47" s="2">
        <v>2025</v>
      </c>
      <c r="H47" s="2" t="s">
        <v>58</v>
      </c>
      <c r="I47" s="2" t="s">
        <v>97</v>
      </c>
      <c r="J47" s="2" t="s">
        <v>60</v>
      </c>
      <c r="K47" s="2" t="s">
        <v>98</v>
      </c>
      <c r="L47" s="2">
        <v>1</v>
      </c>
      <c r="M47" s="3">
        <v>1120000</v>
      </c>
      <c r="N47" s="3">
        <v>1370000</v>
      </c>
      <c r="O47" s="2" t="s">
        <v>62</v>
      </c>
      <c r="P47" s="3">
        <v>1120000</v>
      </c>
      <c r="Q47" s="3">
        <v>280000</v>
      </c>
      <c r="R47" s="3">
        <f>IF(V47="No",0,MAX(0,M47-Q47))</f>
        <v>840000</v>
      </c>
      <c r="S47" s="4">
        <v>10.55</v>
      </c>
      <c r="T47" s="2">
        <v>36</v>
      </c>
      <c r="U47" s="3">
        <f>IF(OR(R47&lt;=0,S47&lt;0,T47&lt;=0),"",IF(S47=0,R47/T47,-PMT(S47/1200,T47,R47)))</f>
        <v>27322</v>
      </c>
      <c r="V47" s="2" t="s">
        <v>63</v>
      </c>
      <c r="W47" s="5">
        <v>999</v>
      </c>
      <c r="X47" s="2">
        <v>114</v>
      </c>
      <c r="Y47" s="4">
        <v>19.05</v>
      </c>
      <c r="Z47" s="5"/>
      <c r="AA47" s="6"/>
      <c r="AB47" s="2">
        <v>5</v>
      </c>
      <c r="AC47" s="2">
        <v>5</v>
      </c>
      <c r="AD47" s="2">
        <v>446</v>
      </c>
      <c r="AE47" s="2" t="s">
        <v>138</v>
      </c>
      <c r="AF47" s="2">
        <v>6</v>
      </c>
      <c r="AG47" s="2" t="s">
        <v>63</v>
      </c>
      <c r="AH47" s="2" t="s">
        <v>63</v>
      </c>
      <c r="AI47" s="2" t="s">
        <v>63</v>
      </c>
      <c r="AJ47" s="2" t="s">
        <v>83</v>
      </c>
      <c r="AK47" s="2" t="s">
        <v>84</v>
      </c>
      <c r="AL47" s="5">
        <v>23000</v>
      </c>
      <c r="AM47" s="2" t="s">
        <v>463</v>
      </c>
      <c r="AN47" s="2" t="s">
        <v>115</v>
      </c>
      <c r="AO47" s="2" t="s">
        <v>140</v>
      </c>
      <c r="AP47" s="2" t="s">
        <v>69</v>
      </c>
      <c r="AQ47" s="2" t="s">
        <v>88</v>
      </c>
      <c r="AR47" s="2" t="s">
        <v>71</v>
      </c>
      <c r="AS47" s="2" t="s">
        <v>63</v>
      </c>
      <c r="AT47" s="2" t="s">
        <v>63</v>
      </c>
      <c r="AU47" s="2" t="s">
        <v>72</v>
      </c>
      <c r="AV47" s="2" t="s">
        <v>464</v>
      </c>
      <c r="AW47" s="2" t="s">
        <v>465</v>
      </c>
      <c r="AX47" s="2" t="s">
        <v>92</v>
      </c>
      <c r="AY47" s="3">
        <v>9500</v>
      </c>
      <c r="AZ47" s="2" t="s">
        <v>76</v>
      </c>
      <c r="BA47" s="2"/>
    </row>
    <row r="48" ht="20" customHeight="1" spans="1:53" x14ac:dyDescent="0.25">
      <c r="A48" s="2" t="s">
        <v>466</v>
      </c>
      <c r="B48" s="2" t="s">
        <v>467</v>
      </c>
      <c r="C48" s="2" t="s">
        <v>468</v>
      </c>
      <c r="D48" s="2" t="s">
        <v>469</v>
      </c>
      <c r="E48" s="2" t="s">
        <v>470</v>
      </c>
      <c r="F48" s="2">
        <v>2016</v>
      </c>
      <c r="G48" s="2">
        <v>2016</v>
      </c>
      <c r="H48" s="2" t="s">
        <v>58</v>
      </c>
      <c r="I48" s="2" t="s">
        <v>97</v>
      </c>
      <c r="J48" s="2" t="s">
        <v>60</v>
      </c>
      <c r="K48" s="2" t="s">
        <v>137</v>
      </c>
      <c r="L48" s="2">
        <v>2</v>
      </c>
      <c r="M48" s="3">
        <v>545000</v>
      </c>
      <c r="N48" s="3">
        <v>1630000</v>
      </c>
      <c r="O48" s="8" t="s">
        <v>63</v>
      </c>
      <c r="P48" s="3">
        <v>520000</v>
      </c>
      <c r="Q48" s="3">
        <v>135000</v>
      </c>
      <c r="R48" s="3">
        <f>IF(V48="No",0,MAX(0,M48-Q48))</f>
        <v>410000</v>
      </c>
      <c r="S48" s="4">
        <v>11.75</v>
      </c>
      <c r="T48" s="2">
        <v>48</v>
      </c>
      <c r="U48" s="3">
        <f>IF(OR(R48&lt;=0,S48&lt;0,T48&lt;=0),"",IF(S48=0,R48/T48,-PMT(S48/1200,T48,R48)))</f>
        <v>10747</v>
      </c>
      <c r="V48" s="2" t="s">
        <v>63</v>
      </c>
      <c r="W48" s="5">
        <v>1451</v>
      </c>
      <c r="X48" s="2">
        <v>141</v>
      </c>
      <c r="Y48" s="4">
        <v>13.79</v>
      </c>
      <c r="Z48" s="5"/>
      <c r="AA48" s="6"/>
      <c r="AB48" s="2">
        <v>5</v>
      </c>
      <c r="AC48" s="2">
        <v>5</v>
      </c>
      <c r="AD48" s="2">
        <v>587</v>
      </c>
      <c r="AE48" s="2"/>
      <c r="AF48" s="2">
        <v>6</v>
      </c>
      <c r="AG48" s="2" t="s">
        <v>63</v>
      </c>
      <c r="AH48" s="2" t="s">
        <v>63</v>
      </c>
      <c r="AI48" s="2" t="s">
        <v>63</v>
      </c>
      <c r="AJ48" s="2" t="s">
        <v>100</v>
      </c>
      <c r="AK48" s="2" t="s">
        <v>65</v>
      </c>
      <c r="AL48" s="7">
        <v>97500</v>
      </c>
      <c r="AM48" s="2" t="s">
        <v>471</v>
      </c>
      <c r="AN48" s="2" t="s">
        <v>67</v>
      </c>
      <c r="AO48" s="2" t="s">
        <v>152</v>
      </c>
      <c r="AP48" s="2" t="s">
        <v>128</v>
      </c>
      <c r="AQ48" s="2" t="s">
        <v>105</v>
      </c>
      <c r="AR48" s="2" t="s">
        <v>89</v>
      </c>
      <c r="AS48" s="2" t="s">
        <v>63</v>
      </c>
      <c r="AT48" s="2" t="s">
        <v>62</v>
      </c>
      <c r="AU48" s="2" t="s">
        <v>62</v>
      </c>
      <c r="AV48" s="2" t="s">
        <v>472</v>
      </c>
      <c r="AW48" s="2" t="s">
        <v>473</v>
      </c>
      <c r="AX48" s="2" t="s">
        <v>92</v>
      </c>
      <c r="AY48" s="3">
        <v>15700</v>
      </c>
      <c r="AZ48" s="2" t="s">
        <v>76</v>
      </c>
      <c r="BA48" s="2"/>
    </row>
    <row r="49" ht="20" customHeight="1" spans="1:53" x14ac:dyDescent="0.25">
      <c r="A49" s="9" t="s">
        <v>474</v>
      </c>
      <c r="B49" s="9" t="s">
        <v>467</v>
      </c>
      <c r="C49" s="9" t="s">
        <v>475</v>
      </c>
      <c r="D49" s="9" t="s">
        <v>476</v>
      </c>
      <c r="E49" s="9" t="s">
        <v>477</v>
      </c>
      <c r="F49" s="9">
        <v>2026</v>
      </c>
      <c r="G49" s="9">
        <v>2026</v>
      </c>
      <c r="H49" s="9" t="s">
        <v>171</v>
      </c>
      <c r="I49" s="9" t="s">
        <v>125</v>
      </c>
      <c r="J49" s="9" t="s">
        <v>210</v>
      </c>
      <c r="K49" s="9" t="s">
        <v>98</v>
      </c>
      <c r="L49" s="9">
        <v>0</v>
      </c>
      <c r="M49" s="10">
        <v>1550000</v>
      </c>
      <c r="N49" s="10">
        <v>1550000</v>
      </c>
      <c r="O49" s="9" t="s">
        <v>62</v>
      </c>
      <c r="P49" s="10">
        <v>1550000</v>
      </c>
      <c r="Q49" s="10">
        <v>310000</v>
      </c>
      <c r="R49" s="10">
        <f>IF(V49="No",0,MAX(0,M49-Q49))</f>
        <v>1240000</v>
      </c>
      <c r="S49" s="11">
        <v>8.65</v>
      </c>
      <c r="T49" s="9">
        <v>84</v>
      </c>
      <c r="U49" s="10">
        <f>IF(OR(R49&lt;=0,S49&lt;0,T49&lt;=0),"",IF(S49=0,R49/T49,-PMT(S49/1200,T49,R49)))</f>
        <v>19731</v>
      </c>
      <c r="V49" s="9" t="s">
        <v>63</v>
      </c>
      <c r="W49" s="12"/>
      <c r="X49" s="9">
        <v>134</v>
      </c>
      <c r="Y49" s="11"/>
      <c r="Z49" s="12">
        <v>332</v>
      </c>
      <c r="AA49" s="13">
        <v>38</v>
      </c>
      <c r="AB49" s="9">
        <v>5</v>
      </c>
      <c r="AC49" s="9">
        <v>5</v>
      </c>
      <c r="AD49" s="9">
        <v>604</v>
      </c>
      <c r="AE49" s="9"/>
      <c r="AF49" s="9">
        <v>6</v>
      </c>
      <c r="AG49" s="9" t="s">
        <v>63</v>
      </c>
      <c r="AH49" s="9" t="s">
        <v>63</v>
      </c>
      <c r="AI49" s="9" t="s">
        <v>63</v>
      </c>
      <c r="AJ49" s="9" t="s">
        <v>113</v>
      </c>
      <c r="AK49" s="9" t="s">
        <v>171</v>
      </c>
      <c r="AL49" s="12">
        <v>17</v>
      </c>
      <c r="AM49" s="9" t="s">
        <v>478</v>
      </c>
      <c r="AN49" s="9" t="s">
        <v>164</v>
      </c>
      <c r="AO49" s="9" t="s">
        <v>165</v>
      </c>
      <c r="AP49" s="9" t="s">
        <v>141</v>
      </c>
      <c r="AQ49" s="9" t="s">
        <v>117</v>
      </c>
      <c r="AR49" s="9" t="s">
        <v>89</v>
      </c>
      <c r="AS49" s="9" t="s">
        <v>63</v>
      </c>
      <c r="AT49" s="9" t="s">
        <v>63</v>
      </c>
      <c r="AU49" s="9" t="s">
        <v>62</v>
      </c>
      <c r="AV49" s="9" t="s">
        <v>479</v>
      </c>
      <c r="AW49" s="9" t="s">
        <v>480</v>
      </c>
      <c r="AX49" s="9" t="s">
        <v>92</v>
      </c>
      <c r="AY49" s="10">
        <v>4900</v>
      </c>
      <c r="AZ49" s="9" t="s">
        <v>76</v>
      </c>
      <c r="BA49" s="9"/>
    </row>
    <row r="50" ht="20" customHeight="1" spans="1:53" x14ac:dyDescent="0.25">
      <c r="A50" s="9" t="s">
        <v>481</v>
      </c>
      <c r="B50" s="9" t="s">
        <v>467</v>
      </c>
      <c r="C50" s="9" t="s">
        <v>482</v>
      </c>
      <c r="D50" s="9" t="s">
        <v>483</v>
      </c>
      <c r="E50" s="9" t="s">
        <v>484</v>
      </c>
      <c r="F50" s="9">
        <v>2021</v>
      </c>
      <c r="G50" s="9">
        <v>2021</v>
      </c>
      <c r="H50" s="9" t="s">
        <v>58</v>
      </c>
      <c r="I50" s="9" t="s">
        <v>97</v>
      </c>
      <c r="J50" s="9" t="s">
        <v>210</v>
      </c>
      <c r="K50" s="9" t="s">
        <v>98</v>
      </c>
      <c r="L50" s="9">
        <v>2</v>
      </c>
      <c r="M50" s="10">
        <v>1350000</v>
      </c>
      <c r="N50" s="10">
        <v>2225000</v>
      </c>
      <c r="O50" s="9" t="s">
        <v>62</v>
      </c>
      <c r="P50" s="10">
        <v>1350000</v>
      </c>
      <c r="Q50" s="10">
        <v>340000</v>
      </c>
      <c r="R50" s="10">
        <f>IF(V50="No",0,MAX(0,M50-Q50))</f>
        <v>1010000</v>
      </c>
      <c r="S50" s="11">
        <v>11</v>
      </c>
      <c r="T50" s="9">
        <v>36</v>
      </c>
      <c r="U50" s="10">
        <f>IF(OR(R50&lt;=0,S50&lt;0,T50&lt;=0),"",IF(S50=0,R50/T50,-PMT(S50/1200,T50,R50)))</f>
        <v>33066</v>
      </c>
      <c r="V50" s="9" t="s">
        <v>63</v>
      </c>
      <c r="W50" s="12"/>
      <c r="X50" s="9">
        <v>174</v>
      </c>
      <c r="Y50" s="11"/>
      <c r="Z50" s="12">
        <v>461</v>
      </c>
      <c r="AA50" s="13">
        <v>50.3</v>
      </c>
      <c r="AB50" s="9">
        <v>5</v>
      </c>
      <c r="AC50" s="9">
        <v>5</v>
      </c>
      <c r="AD50" s="9">
        <v>448</v>
      </c>
      <c r="AE50" s="9" t="s">
        <v>211</v>
      </c>
      <c r="AF50" s="9">
        <v>6</v>
      </c>
      <c r="AG50" s="9" t="s">
        <v>63</v>
      </c>
      <c r="AH50" s="9" t="s">
        <v>63</v>
      </c>
      <c r="AI50" s="9" t="s">
        <v>63</v>
      </c>
      <c r="AJ50" s="9" t="s">
        <v>64</v>
      </c>
      <c r="AK50" s="9" t="s">
        <v>101</v>
      </c>
      <c r="AL50" s="12">
        <v>54400</v>
      </c>
      <c r="AM50" s="9" t="s">
        <v>485</v>
      </c>
      <c r="AN50" s="9" t="s">
        <v>174</v>
      </c>
      <c r="AO50" s="9" t="s">
        <v>175</v>
      </c>
      <c r="AP50" s="9" t="s">
        <v>69</v>
      </c>
      <c r="AQ50" s="9" t="s">
        <v>129</v>
      </c>
      <c r="AR50" s="9" t="s">
        <v>71</v>
      </c>
      <c r="AS50" s="9" t="s">
        <v>63</v>
      </c>
      <c r="AT50" s="9" t="s">
        <v>62</v>
      </c>
      <c r="AU50" s="9" t="s">
        <v>62</v>
      </c>
      <c r="AV50" s="9" t="s">
        <v>486</v>
      </c>
      <c r="AW50" s="9" t="s">
        <v>487</v>
      </c>
      <c r="AX50" s="9" t="s">
        <v>92</v>
      </c>
      <c r="AY50" s="10">
        <v>6500</v>
      </c>
      <c r="AZ50" s="9" t="s">
        <v>76</v>
      </c>
      <c r="BA50" s="9"/>
    </row>
    <row r="51" ht="20" customHeight="1" spans="1:53" x14ac:dyDescent="0.25">
      <c r="A51" s="9" t="s">
        <v>488</v>
      </c>
      <c r="B51" s="9" t="s">
        <v>489</v>
      </c>
      <c r="C51" s="9" t="s">
        <v>490</v>
      </c>
      <c r="D51" s="9" t="s">
        <v>491</v>
      </c>
      <c r="E51" s="9" t="s">
        <v>492</v>
      </c>
      <c r="F51" s="9">
        <v>2024</v>
      </c>
      <c r="G51" s="9">
        <v>2024</v>
      </c>
      <c r="H51" s="9" t="s">
        <v>58</v>
      </c>
      <c r="I51" s="9" t="s">
        <v>97</v>
      </c>
      <c r="J51" s="9" t="s">
        <v>210</v>
      </c>
      <c r="K51" s="9" t="s">
        <v>98</v>
      </c>
      <c r="L51" s="9">
        <v>1</v>
      </c>
      <c r="M51" s="10">
        <v>2645000</v>
      </c>
      <c r="N51" s="10">
        <v>3230000</v>
      </c>
      <c r="O51" s="8" t="s">
        <v>63</v>
      </c>
      <c r="P51" s="10">
        <v>2515000</v>
      </c>
      <c r="Q51" s="10">
        <v>660000</v>
      </c>
      <c r="R51" s="10">
        <f>IF(V51="No",0,MAX(0,M51-Q51))</f>
        <v>1985000</v>
      </c>
      <c r="S51" s="11">
        <v>10.55</v>
      </c>
      <c r="T51" s="9">
        <v>48</v>
      </c>
      <c r="U51" s="10">
        <f>IF(OR(R51&lt;=0,S51&lt;0,T51&lt;=0),"",IF(S51=0,R51/T51,-PMT(S51/1200,T51,R51)))</f>
        <v>50871</v>
      </c>
      <c r="V51" s="9" t="s">
        <v>63</v>
      </c>
      <c r="W51" s="12"/>
      <c r="X51" s="9">
        <v>201</v>
      </c>
      <c r="Y51" s="11"/>
      <c r="Z51" s="12">
        <v>521</v>
      </c>
      <c r="AA51" s="13">
        <v>60.48</v>
      </c>
      <c r="AB51" s="9">
        <v>5</v>
      </c>
      <c r="AC51" s="9">
        <v>5</v>
      </c>
      <c r="AD51" s="9">
        <v>440</v>
      </c>
      <c r="AE51" s="9" t="s">
        <v>211</v>
      </c>
      <c r="AF51" s="9">
        <v>7</v>
      </c>
      <c r="AG51" s="9" t="s">
        <v>63</v>
      </c>
      <c r="AH51" s="9" t="s">
        <v>63</v>
      </c>
      <c r="AI51" s="9" t="s">
        <v>63</v>
      </c>
      <c r="AJ51" s="9" t="s">
        <v>83</v>
      </c>
      <c r="AK51" s="9" t="s">
        <v>84</v>
      </c>
      <c r="AL51" s="12">
        <v>23200</v>
      </c>
      <c r="AM51" s="9" t="s">
        <v>493</v>
      </c>
      <c r="AN51" s="9" t="s">
        <v>185</v>
      </c>
      <c r="AO51" s="9" t="s">
        <v>186</v>
      </c>
      <c r="AP51" s="9" t="s">
        <v>69</v>
      </c>
      <c r="AQ51" s="9" t="s">
        <v>142</v>
      </c>
      <c r="AR51" s="9" t="s">
        <v>89</v>
      </c>
      <c r="AS51" s="9" t="s">
        <v>62</v>
      </c>
      <c r="AT51" s="9" t="s">
        <v>63</v>
      </c>
      <c r="AU51" s="9" t="s">
        <v>62</v>
      </c>
      <c r="AV51" s="9" t="s">
        <v>494</v>
      </c>
      <c r="AW51" s="9" t="s">
        <v>495</v>
      </c>
      <c r="AX51" s="9" t="s">
        <v>92</v>
      </c>
      <c r="AY51" s="10">
        <v>6600</v>
      </c>
      <c r="AZ51" s="9" t="s">
        <v>76</v>
      </c>
      <c r="BA51" s="9"/>
    </row>
    <row r="52" ht="20" customHeight="1" spans="1:53" x14ac:dyDescent="0.25">
      <c r="A52" s="9" t="s">
        <v>496</v>
      </c>
      <c r="B52" s="9" t="s">
        <v>489</v>
      </c>
      <c r="C52" s="9" t="s">
        <v>497</v>
      </c>
      <c r="D52" s="9" t="s">
        <v>498</v>
      </c>
      <c r="E52" s="9" t="s">
        <v>499</v>
      </c>
      <c r="F52" s="9">
        <v>2025</v>
      </c>
      <c r="G52" s="9">
        <v>2026</v>
      </c>
      <c r="H52" s="9" t="s">
        <v>58</v>
      </c>
      <c r="I52" s="9" t="s">
        <v>149</v>
      </c>
      <c r="J52" s="9" t="s">
        <v>210</v>
      </c>
      <c r="K52" s="9" t="s">
        <v>98</v>
      </c>
      <c r="L52" s="9">
        <v>1</v>
      </c>
      <c r="M52" s="10">
        <v>4020000</v>
      </c>
      <c r="N52" s="10">
        <v>4440000</v>
      </c>
      <c r="O52" s="8" t="s">
        <v>63</v>
      </c>
      <c r="P52" s="10">
        <v>3860000</v>
      </c>
      <c r="Q52" s="10">
        <v>1005000</v>
      </c>
      <c r="R52" s="10">
        <f>IF(V52="No",0,MAX(0,M52-Q52))</f>
        <v>3015000</v>
      </c>
      <c r="S52" s="11">
        <v>10.4</v>
      </c>
      <c r="T52" s="9">
        <v>60</v>
      </c>
      <c r="U52" s="10">
        <f>IF(OR(R52&lt;=0,S52&lt;0,T52&lt;=0),"",IF(S52=0,R52/T52,-PMT(S52/1200,T52,R52)))</f>
        <v>64655</v>
      </c>
      <c r="V52" s="9" t="s">
        <v>63</v>
      </c>
      <c r="W52" s="12"/>
      <c r="X52" s="9">
        <v>308</v>
      </c>
      <c r="Y52" s="11"/>
      <c r="Z52" s="12">
        <v>650</v>
      </c>
      <c r="AA52" s="13">
        <v>82.56</v>
      </c>
      <c r="AB52" s="9">
        <v>5</v>
      </c>
      <c r="AC52" s="9">
        <v>4</v>
      </c>
      <c r="AD52" s="9">
        <v>400</v>
      </c>
      <c r="AE52" s="9" t="s">
        <v>211</v>
      </c>
      <c r="AF52" s="9">
        <v>9</v>
      </c>
      <c r="AG52" s="9" t="s">
        <v>63</v>
      </c>
      <c r="AH52" s="9" t="s">
        <v>63</v>
      </c>
      <c r="AI52" s="9" t="s">
        <v>63</v>
      </c>
      <c r="AJ52" s="9" t="s">
        <v>100</v>
      </c>
      <c r="AK52" s="9" t="s">
        <v>84</v>
      </c>
      <c r="AL52" s="12">
        <v>11600</v>
      </c>
      <c r="AM52" s="9" t="s">
        <v>500</v>
      </c>
      <c r="AN52" s="9" t="s">
        <v>67</v>
      </c>
      <c r="AO52" s="9" t="s">
        <v>68</v>
      </c>
      <c r="AP52" s="9" t="s">
        <v>69</v>
      </c>
      <c r="AQ52" s="9" t="s">
        <v>153</v>
      </c>
      <c r="AR52" s="9" t="s">
        <v>89</v>
      </c>
      <c r="AS52" s="9" t="s">
        <v>63</v>
      </c>
      <c r="AT52" s="9" t="s">
        <v>63</v>
      </c>
      <c r="AU52" s="9" t="s">
        <v>62</v>
      </c>
      <c r="AV52" s="9" t="s">
        <v>501</v>
      </c>
      <c r="AW52" s="9" t="s">
        <v>502</v>
      </c>
      <c r="AX52" s="9" t="s">
        <v>197</v>
      </c>
      <c r="AY52" s="10">
        <v>7100</v>
      </c>
      <c r="AZ52" s="9" t="s">
        <v>76</v>
      </c>
      <c r="BA52" s="9"/>
    </row>
    <row r="53" ht="20" customHeight="1" spans="1:53" x14ac:dyDescent="0.25">
      <c r="A53" s="2" t="s">
        <v>503</v>
      </c>
      <c r="B53" s="2" t="s">
        <v>504</v>
      </c>
      <c r="C53" s="2" t="s">
        <v>505</v>
      </c>
      <c r="D53" s="2" t="s">
        <v>506</v>
      </c>
      <c r="E53" s="2" t="s">
        <v>507</v>
      </c>
      <c r="F53" s="2">
        <v>2015</v>
      </c>
      <c r="G53" s="2">
        <v>2015</v>
      </c>
      <c r="H53" s="2" t="s">
        <v>58</v>
      </c>
      <c r="I53" s="2" t="s">
        <v>508</v>
      </c>
      <c r="J53" s="2" t="s">
        <v>60</v>
      </c>
      <c r="K53" s="2" t="s">
        <v>98</v>
      </c>
      <c r="L53" s="2">
        <v>2</v>
      </c>
      <c r="M53" s="3">
        <v>1120000</v>
      </c>
      <c r="N53" s="3">
        <v>4395000</v>
      </c>
      <c r="O53" s="2" t="s">
        <v>62</v>
      </c>
      <c r="P53" s="3">
        <v>1120000</v>
      </c>
      <c r="Q53" s="3">
        <v>280000</v>
      </c>
      <c r="R53" s="3">
        <f>IF(V53="No",0,MAX(0,M53-Q53))</f>
        <v>0</v>
      </c>
      <c r="S53" s="4">
        <v>0</v>
      </c>
      <c r="T53" s="2">
        <v>0</v>
      </c>
      <c r="U53" s="3" t="str">
        <f>IF(OR(R53&lt;=0,S53&lt;0,T53&lt;=0),"",IF(S53=0,R53/T53,-PMT(S53/1200,T53,R53)))</f>
        <v/>
      </c>
      <c r="V53" s="2" t="s">
        <v>62</v>
      </c>
      <c r="W53" s="5">
        <v>1998</v>
      </c>
      <c r="X53" s="2">
        <v>255</v>
      </c>
      <c r="Y53" s="4">
        <v>15.39</v>
      </c>
      <c r="Z53" s="5"/>
      <c r="AA53" s="6"/>
      <c r="AB53" s="2">
        <v>5</v>
      </c>
      <c r="AC53" s="2">
        <v>4</v>
      </c>
      <c r="AD53" s="2">
        <v>480</v>
      </c>
      <c r="AE53" s="2" t="s">
        <v>211</v>
      </c>
      <c r="AF53" s="2">
        <v>6</v>
      </c>
      <c r="AG53" s="2" t="s">
        <v>63</v>
      </c>
      <c r="AH53" s="2" t="s">
        <v>63</v>
      </c>
      <c r="AI53" s="2" t="s">
        <v>63</v>
      </c>
      <c r="AJ53" s="2" t="s">
        <v>113</v>
      </c>
      <c r="AK53" s="2" t="s">
        <v>65</v>
      </c>
      <c r="AL53" s="7">
        <v>111700</v>
      </c>
      <c r="AM53" s="2" t="s">
        <v>509</v>
      </c>
      <c r="AN53" s="2" t="s">
        <v>86</v>
      </c>
      <c r="AO53" s="2" t="s">
        <v>87</v>
      </c>
      <c r="AP53" s="2" t="s">
        <v>69</v>
      </c>
      <c r="AQ53" s="2" t="s">
        <v>166</v>
      </c>
      <c r="AR53" s="2" t="s">
        <v>71</v>
      </c>
      <c r="AS53" s="2" t="s">
        <v>63</v>
      </c>
      <c r="AT53" s="2" t="s">
        <v>62</v>
      </c>
      <c r="AU53" s="2" t="s">
        <v>62</v>
      </c>
      <c r="AV53" s="2" t="s">
        <v>510</v>
      </c>
      <c r="AW53" s="2" t="s">
        <v>511</v>
      </c>
      <c r="AX53" s="2" t="s">
        <v>335</v>
      </c>
      <c r="AY53" s="3">
        <v>54700</v>
      </c>
      <c r="AZ53" s="2" t="s">
        <v>76</v>
      </c>
      <c r="BA53" s="2"/>
    </row>
    <row r="54" ht="20" customHeight="1" spans="1:53" x14ac:dyDescent="0.25">
      <c r="A54" s="2" t="s">
        <v>512</v>
      </c>
      <c r="B54" s="2" t="s">
        <v>504</v>
      </c>
      <c r="C54" s="2" t="s">
        <v>513</v>
      </c>
      <c r="D54" s="2" t="s">
        <v>514</v>
      </c>
      <c r="E54" s="2" t="s">
        <v>515</v>
      </c>
      <c r="F54" s="2">
        <v>2022</v>
      </c>
      <c r="G54" s="2">
        <v>2022</v>
      </c>
      <c r="H54" s="2" t="s">
        <v>58</v>
      </c>
      <c r="I54" s="2" t="s">
        <v>508</v>
      </c>
      <c r="J54" s="2" t="s">
        <v>172</v>
      </c>
      <c r="K54" s="2" t="s">
        <v>161</v>
      </c>
      <c r="L54" s="2">
        <v>1</v>
      </c>
      <c r="M54" s="3">
        <v>2710000</v>
      </c>
      <c r="N54" s="3">
        <v>4840000</v>
      </c>
      <c r="O54" s="8" t="s">
        <v>63</v>
      </c>
      <c r="P54" s="3">
        <v>2575000</v>
      </c>
      <c r="Q54" s="3">
        <v>680000</v>
      </c>
      <c r="R54" s="3">
        <f>IF(V54="No",0,MAX(0,M54-Q54))</f>
        <v>2030000</v>
      </c>
      <c r="S54" s="4">
        <v>10.85</v>
      </c>
      <c r="T54" s="2">
        <v>48</v>
      </c>
      <c r="U54" s="3">
        <f>IF(OR(R54&lt;=0,S54&lt;0,T54&lt;=0),"",IF(S54=0,R54/T54,-PMT(S54/1200,T54,R54)))</f>
        <v>52319</v>
      </c>
      <c r="V54" s="2" t="s">
        <v>63</v>
      </c>
      <c r="W54" s="5">
        <v>1995</v>
      </c>
      <c r="X54" s="2">
        <v>148</v>
      </c>
      <c r="Y54" s="4">
        <v>20.37</v>
      </c>
      <c r="Z54" s="5"/>
      <c r="AA54" s="6"/>
      <c r="AB54" s="2">
        <v>5</v>
      </c>
      <c r="AC54" s="2">
        <v>5</v>
      </c>
      <c r="AD54" s="2">
        <v>476</v>
      </c>
      <c r="AE54" s="2" t="s">
        <v>211</v>
      </c>
      <c r="AF54" s="2">
        <v>6</v>
      </c>
      <c r="AG54" s="2" t="s">
        <v>63</v>
      </c>
      <c r="AH54" s="2" t="s">
        <v>63</v>
      </c>
      <c r="AI54" s="2" t="s">
        <v>63</v>
      </c>
      <c r="AJ54" s="2" t="s">
        <v>64</v>
      </c>
      <c r="AK54" s="2" t="s">
        <v>101</v>
      </c>
      <c r="AL54" s="5">
        <v>59200</v>
      </c>
      <c r="AM54" s="2" t="s">
        <v>516</v>
      </c>
      <c r="AN54" s="2" t="s">
        <v>103</v>
      </c>
      <c r="AO54" s="2" t="s">
        <v>104</v>
      </c>
      <c r="AP54" s="2" t="s">
        <v>128</v>
      </c>
      <c r="AQ54" s="2" t="s">
        <v>176</v>
      </c>
      <c r="AR54" s="2" t="s">
        <v>89</v>
      </c>
      <c r="AS54" s="2" t="s">
        <v>63</v>
      </c>
      <c r="AT54" s="2" t="s">
        <v>63</v>
      </c>
      <c r="AU54" s="2" t="s">
        <v>62</v>
      </c>
      <c r="AV54" s="2" t="s">
        <v>517</v>
      </c>
      <c r="AW54" s="2" t="s">
        <v>518</v>
      </c>
      <c r="AX54" s="2" t="s">
        <v>335</v>
      </c>
      <c r="AY54" s="3">
        <v>40600</v>
      </c>
      <c r="AZ54" s="2" t="s">
        <v>76</v>
      </c>
      <c r="BA54" s="2"/>
    </row>
    <row r="55" ht="20" customHeight="1" spans="1:53" x14ac:dyDescent="0.25">
      <c r="A55" s="9" t="s">
        <v>519</v>
      </c>
      <c r="B55" s="9" t="s">
        <v>504</v>
      </c>
      <c r="C55" s="9" t="s">
        <v>520</v>
      </c>
      <c r="D55" s="9" t="s">
        <v>521</v>
      </c>
      <c r="E55" s="9" t="s">
        <v>522</v>
      </c>
      <c r="F55" s="9">
        <v>2024</v>
      </c>
      <c r="G55" s="9">
        <v>2024</v>
      </c>
      <c r="H55" s="9" t="s">
        <v>58</v>
      </c>
      <c r="I55" s="9" t="s">
        <v>508</v>
      </c>
      <c r="J55" s="9" t="s">
        <v>210</v>
      </c>
      <c r="K55" s="9" t="s">
        <v>98</v>
      </c>
      <c r="L55" s="9">
        <v>1</v>
      </c>
      <c r="M55" s="10">
        <v>4755000</v>
      </c>
      <c r="N55" s="10">
        <v>6355000</v>
      </c>
      <c r="O55" s="8" t="s">
        <v>63</v>
      </c>
      <c r="P55" s="10">
        <v>4565000</v>
      </c>
      <c r="Q55" s="10">
        <v>1190000</v>
      </c>
      <c r="R55" s="10">
        <f>IF(V55="No",0,MAX(0,M55-Q55))</f>
        <v>3565000</v>
      </c>
      <c r="S55" s="11">
        <v>10.55</v>
      </c>
      <c r="T55" s="9">
        <v>60</v>
      </c>
      <c r="U55" s="10">
        <f>IF(OR(R55&lt;=0,S55&lt;0,T55&lt;=0),"",IF(S55=0,R55/T55,-PMT(S55/1200,T55,R55)))</f>
        <v>76714</v>
      </c>
      <c r="V55" s="9" t="s">
        <v>63</v>
      </c>
      <c r="W55" s="12"/>
      <c r="X55" s="9">
        <v>308</v>
      </c>
      <c r="Y55" s="11"/>
      <c r="Z55" s="12">
        <v>440</v>
      </c>
      <c r="AA55" s="13">
        <v>66.4</v>
      </c>
      <c r="AB55" s="9">
        <v>5</v>
      </c>
      <c r="AC55" s="9">
        <v>5</v>
      </c>
      <c r="AD55" s="9">
        <v>490</v>
      </c>
      <c r="AE55" s="9" t="s">
        <v>211</v>
      </c>
      <c r="AF55" s="9">
        <v>6</v>
      </c>
      <c r="AG55" s="9" t="s">
        <v>63</v>
      </c>
      <c r="AH55" s="9" t="s">
        <v>63</v>
      </c>
      <c r="AI55" s="9" t="s">
        <v>63</v>
      </c>
      <c r="AJ55" s="9" t="s">
        <v>83</v>
      </c>
      <c r="AK55" s="9" t="s">
        <v>84</v>
      </c>
      <c r="AL55" s="12">
        <v>22000</v>
      </c>
      <c r="AM55" s="9" t="s">
        <v>523</v>
      </c>
      <c r="AN55" s="9" t="s">
        <v>115</v>
      </c>
      <c r="AO55" s="9" t="s">
        <v>116</v>
      </c>
      <c r="AP55" s="9" t="s">
        <v>141</v>
      </c>
      <c r="AQ55" s="9" t="s">
        <v>187</v>
      </c>
      <c r="AR55" s="9" t="s">
        <v>89</v>
      </c>
      <c r="AS55" s="9" t="s">
        <v>63</v>
      </c>
      <c r="AT55" s="9" t="s">
        <v>63</v>
      </c>
      <c r="AU55" s="9" t="s">
        <v>62</v>
      </c>
      <c r="AV55" s="9" t="s">
        <v>524</v>
      </c>
      <c r="AW55" s="9" t="s">
        <v>525</v>
      </c>
      <c r="AX55" s="9" t="s">
        <v>335</v>
      </c>
      <c r="AY55" s="10">
        <v>23800</v>
      </c>
      <c r="AZ55" s="9" t="s">
        <v>76</v>
      </c>
      <c r="BA55" s="9"/>
    </row>
    <row r="56" ht="20" customHeight="1" spans="1:53" x14ac:dyDescent="0.25">
      <c r="A56" s="2" t="s">
        <v>526</v>
      </c>
      <c r="B56" s="2" t="s">
        <v>527</v>
      </c>
      <c r="C56" s="2" t="s">
        <v>528</v>
      </c>
      <c r="D56" s="2" t="s">
        <v>529</v>
      </c>
      <c r="E56" s="2" t="s">
        <v>530</v>
      </c>
      <c r="F56" s="2">
        <v>2024</v>
      </c>
      <c r="G56" s="2">
        <v>2024</v>
      </c>
      <c r="H56" s="2" t="s">
        <v>58</v>
      </c>
      <c r="I56" s="2" t="s">
        <v>508</v>
      </c>
      <c r="J56" s="2" t="s">
        <v>60</v>
      </c>
      <c r="K56" s="2" t="s">
        <v>98</v>
      </c>
      <c r="L56" s="2">
        <v>1</v>
      </c>
      <c r="M56" s="3">
        <v>4395000</v>
      </c>
      <c r="N56" s="3">
        <v>5875000</v>
      </c>
      <c r="O56" s="2" t="s">
        <v>62</v>
      </c>
      <c r="P56" s="3">
        <v>4395000</v>
      </c>
      <c r="Q56" s="3">
        <v>1100000</v>
      </c>
      <c r="R56" s="3">
        <f>IF(V56="No",0,MAX(0,M56-Q56))</f>
        <v>3295000</v>
      </c>
      <c r="S56" s="4">
        <v>10.55</v>
      </c>
      <c r="T56" s="2">
        <v>36</v>
      </c>
      <c r="U56" s="3">
        <f>IF(OR(R56&lt;=0,S56&lt;0,T56&lt;=0),"",IF(S56=0,R56/T56,-PMT(S56/1200,T56,R56)))</f>
        <v>107173</v>
      </c>
      <c r="V56" s="2" t="s">
        <v>63</v>
      </c>
      <c r="W56" s="5">
        <v>1496</v>
      </c>
      <c r="X56" s="2">
        <v>201</v>
      </c>
      <c r="Y56" s="4">
        <v>16.9</v>
      </c>
      <c r="Z56" s="5"/>
      <c r="AA56" s="6"/>
      <c r="AB56" s="2">
        <v>5</v>
      </c>
      <c r="AC56" s="2">
        <v>4</v>
      </c>
      <c r="AD56" s="2">
        <v>455</v>
      </c>
      <c r="AE56" s="2" t="s">
        <v>211</v>
      </c>
      <c r="AF56" s="2">
        <v>7</v>
      </c>
      <c r="AG56" s="2" t="s">
        <v>63</v>
      </c>
      <c r="AH56" s="2" t="s">
        <v>63</v>
      </c>
      <c r="AI56" s="2" t="s">
        <v>63</v>
      </c>
      <c r="AJ56" s="2" t="s">
        <v>100</v>
      </c>
      <c r="AK56" s="2" t="s">
        <v>84</v>
      </c>
      <c r="AL56" s="5">
        <v>24100</v>
      </c>
      <c r="AM56" s="2" t="s">
        <v>531</v>
      </c>
      <c r="AN56" s="2" t="s">
        <v>127</v>
      </c>
      <c r="AO56" s="2" t="s">
        <v>127</v>
      </c>
      <c r="AP56" s="2" t="s">
        <v>69</v>
      </c>
      <c r="AQ56" s="2" t="s">
        <v>194</v>
      </c>
      <c r="AR56" s="2" t="s">
        <v>71</v>
      </c>
      <c r="AS56" s="2" t="s">
        <v>63</v>
      </c>
      <c r="AT56" s="2" t="s">
        <v>63</v>
      </c>
      <c r="AU56" s="2" t="s">
        <v>62</v>
      </c>
      <c r="AV56" s="2" t="s">
        <v>532</v>
      </c>
      <c r="AW56" s="2" t="s">
        <v>533</v>
      </c>
      <c r="AX56" s="2" t="s">
        <v>335</v>
      </c>
      <c r="AY56" s="3">
        <v>45400</v>
      </c>
      <c r="AZ56" s="2" t="s">
        <v>76</v>
      </c>
      <c r="BA56" s="2"/>
    </row>
    <row r="57" ht="20" customHeight="1" spans="1:53" x14ac:dyDescent="0.25">
      <c r="A57" s="2" t="s">
        <v>534</v>
      </c>
      <c r="B57" s="2" t="s">
        <v>527</v>
      </c>
      <c r="C57" s="2" t="s">
        <v>535</v>
      </c>
      <c r="D57" s="2" t="s">
        <v>536</v>
      </c>
      <c r="E57" s="2" t="s">
        <v>537</v>
      </c>
      <c r="F57" s="2">
        <v>2019</v>
      </c>
      <c r="G57" s="2">
        <v>2020</v>
      </c>
      <c r="H57" s="2" t="s">
        <v>58</v>
      </c>
      <c r="I57" s="2" t="s">
        <v>508</v>
      </c>
      <c r="J57" s="2" t="s">
        <v>60</v>
      </c>
      <c r="K57" s="2" t="s">
        <v>98</v>
      </c>
      <c r="L57" s="2">
        <v>1</v>
      </c>
      <c r="M57" s="3">
        <v>2270000</v>
      </c>
      <c r="N57" s="3">
        <v>6260000</v>
      </c>
      <c r="O57" s="8" t="s">
        <v>63</v>
      </c>
      <c r="P57" s="3">
        <v>2155000</v>
      </c>
      <c r="Q57" s="3">
        <v>570000</v>
      </c>
      <c r="R57" s="3">
        <f>IF(V57="No",0,MAX(0,M57-Q57))</f>
        <v>1700000</v>
      </c>
      <c r="S57" s="4">
        <v>11.3</v>
      </c>
      <c r="T57" s="2">
        <v>48</v>
      </c>
      <c r="U57" s="3">
        <f>IF(OR(R57&lt;=0,S57&lt;0,T57&lt;=0),"",IF(S57=0,R57/T57,-PMT(S57/1200,T57,R57)))</f>
        <v>44185</v>
      </c>
      <c r="V57" s="2" t="s">
        <v>63</v>
      </c>
      <c r="W57" s="5">
        <v>1999</v>
      </c>
      <c r="X57" s="2">
        <v>255</v>
      </c>
      <c r="Y57" s="4">
        <v>14.72</v>
      </c>
      <c r="Z57" s="5"/>
      <c r="AA57" s="6"/>
      <c r="AB57" s="2">
        <v>5</v>
      </c>
      <c r="AC57" s="2">
        <v>5</v>
      </c>
      <c r="AD57" s="2">
        <v>620</v>
      </c>
      <c r="AE57" s="2" t="s">
        <v>211</v>
      </c>
      <c r="AF57" s="2">
        <v>7</v>
      </c>
      <c r="AG57" s="2" t="s">
        <v>63</v>
      </c>
      <c r="AH57" s="2" t="s">
        <v>63</v>
      </c>
      <c r="AI57" s="2" t="s">
        <v>63</v>
      </c>
      <c r="AJ57" s="2" t="s">
        <v>113</v>
      </c>
      <c r="AK57" s="2" t="s">
        <v>162</v>
      </c>
      <c r="AL57" s="5">
        <v>72600</v>
      </c>
      <c r="AM57" s="2" t="s">
        <v>85</v>
      </c>
      <c r="AN57" s="2" t="s">
        <v>115</v>
      </c>
      <c r="AO57" s="2" t="s">
        <v>140</v>
      </c>
      <c r="AP57" s="2" t="s">
        <v>69</v>
      </c>
      <c r="AQ57" s="2" t="s">
        <v>203</v>
      </c>
      <c r="AR57" s="2" t="s">
        <v>89</v>
      </c>
      <c r="AS57" s="2" t="s">
        <v>63</v>
      </c>
      <c r="AT57" s="2" t="s">
        <v>62</v>
      </c>
      <c r="AU57" s="2" t="s">
        <v>62</v>
      </c>
      <c r="AV57" s="2" t="s">
        <v>538</v>
      </c>
      <c r="AW57" s="2" t="s">
        <v>539</v>
      </c>
      <c r="AX57" s="2" t="s">
        <v>335</v>
      </c>
      <c r="AY57" s="3">
        <v>58900</v>
      </c>
      <c r="AZ57" s="2" t="s">
        <v>76</v>
      </c>
      <c r="BA57" s="2"/>
    </row>
    <row r="58" ht="20" customHeight="1" spans="1:53" x14ac:dyDescent="0.25">
      <c r="A58" s="9" t="s">
        <v>540</v>
      </c>
      <c r="B58" s="9" t="s">
        <v>527</v>
      </c>
      <c r="C58" s="9" t="s">
        <v>541</v>
      </c>
      <c r="D58" s="9" t="s">
        <v>542</v>
      </c>
      <c r="E58" s="9" t="s">
        <v>543</v>
      </c>
      <c r="F58" s="9">
        <v>2023</v>
      </c>
      <c r="G58" s="9">
        <v>2023</v>
      </c>
      <c r="H58" s="9" t="s">
        <v>58</v>
      </c>
      <c r="I58" s="9" t="s">
        <v>508</v>
      </c>
      <c r="J58" s="9" t="s">
        <v>210</v>
      </c>
      <c r="K58" s="9" t="s">
        <v>98</v>
      </c>
      <c r="L58" s="9">
        <v>1</v>
      </c>
      <c r="M58" s="10">
        <v>3950000</v>
      </c>
      <c r="N58" s="10">
        <v>6105000</v>
      </c>
      <c r="O58" s="8" t="s">
        <v>63</v>
      </c>
      <c r="P58" s="10">
        <v>3790000</v>
      </c>
      <c r="Q58" s="10">
        <v>990000</v>
      </c>
      <c r="R58" s="10">
        <f>IF(V58="No",0,MAX(0,M58-Q58))</f>
        <v>2960000</v>
      </c>
      <c r="S58" s="11">
        <v>10.7</v>
      </c>
      <c r="T58" s="9">
        <v>60</v>
      </c>
      <c r="U58" s="10">
        <f>IF(OR(R58&lt;=0,S58&lt;0,T58&lt;=0),"",IF(S58=0,R58/T58,-PMT(S58/1200,T58,R58)))</f>
        <v>63916</v>
      </c>
      <c r="V58" s="9" t="s">
        <v>63</v>
      </c>
      <c r="W58" s="12"/>
      <c r="X58" s="9">
        <v>188</v>
      </c>
      <c r="Y58" s="11"/>
      <c r="Z58" s="12">
        <v>560</v>
      </c>
      <c r="AA58" s="13">
        <v>70.5</v>
      </c>
      <c r="AB58" s="9">
        <v>5</v>
      </c>
      <c r="AC58" s="9">
        <v>5</v>
      </c>
      <c r="AD58" s="9">
        <v>340</v>
      </c>
      <c r="AE58" s="9" t="s">
        <v>211</v>
      </c>
      <c r="AF58" s="9">
        <v>7</v>
      </c>
      <c r="AG58" s="9" t="s">
        <v>63</v>
      </c>
      <c r="AH58" s="9" t="s">
        <v>63</v>
      </c>
      <c r="AI58" s="9" t="s">
        <v>63</v>
      </c>
      <c r="AJ58" s="9" t="s">
        <v>64</v>
      </c>
      <c r="AK58" s="9" t="s">
        <v>101</v>
      </c>
      <c r="AL58" s="12">
        <v>33900</v>
      </c>
      <c r="AM58" s="9" t="s">
        <v>544</v>
      </c>
      <c r="AN58" s="9" t="s">
        <v>67</v>
      </c>
      <c r="AO58" s="9" t="s">
        <v>152</v>
      </c>
      <c r="AP58" s="9" t="s">
        <v>69</v>
      </c>
      <c r="AQ58" s="9" t="s">
        <v>213</v>
      </c>
      <c r="AR58" s="9" t="s">
        <v>89</v>
      </c>
      <c r="AS58" s="9" t="s">
        <v>62</v>
      </c>
      <c r="AT58" s="9" t="s">
        <v>63</v>
      </c>
      <c r="AU58" s="9" t="s">
        <v>62</v>
      </c>
      <c r="AV58" s="9" t="s">
        <v>545</v>
      </c>
      <c r="AW58" s="9" t="s">
        <v>546</v>
      </c>
      <c r="AX58" s="9" t="s">
        <v>335</v>
      </c>
      <c r="AY58" s="10">
        <v>26900</v>
      </c>
      <c r="AZ58" s="9" t="s">
        <v>76</v>
      </c>
      <c r="BA58" s="9"/>
    </row>
    <row r="59" ht="20" customHeight="1" spans="1:53" x14ac:dyDescent="0.25">
      <c r="A59" s="2" t="s">
        <v>547</v>
      </c>
      <c r="B59" s="2" t="s">
        <v>548</v>
      </c>
      <c r="C59" s="2" t="s">
        <v>549</v>
      </c>
      <c r="D59" s="2" t="s">
        <v>550</v>
      </c>
      <c r="E59" s="2" t="s">
        <v>551</v>
      </c>
      <c r="F59" s="2">
        <v>2021</v>
      </c>
      <c r="G59" s="2">
        <v>2021</v>
      </c>
      <c r="H59" s="2" t="s">
        <v>58</v>
      </c>
      <c r="I59" s="2" t="s">
        <v>508</v>
      </c>
      <c r="J59" s="2" t="s">
        <v>60</v>
      </c>
      <c r="K59" s="2" t="s">
        <v>161</v>
      </c>
      <c r="L59" s="2">
        <v>2</v>
      </c>
      <c r="M59" s="3">
        <v>2310000</v>
      </c>
      <c r="N59" s="3">
        <v>4770000</v>
      </c>
      <c r="O59" s="2" t="s">
        <v>62</v>
      </c>
      <c r="P59" s="3">
        <v>2310000</v>
      </c>
      <c r="Q59" s="3">
        <v>580000</v>
      </c>
      <c r="R59" s="3">
        <f>IF(V59="No",0,MAX(0,M59-Q59))</f>
        <v>1730000</v>
      </c>
      <c r="S59" s="4">
        <v>11</v>
      </c>
      <c r="T59" s="2">
        <v>36</v>
      </c>
      <c r="U59" s="3">
        <f>IF(OR(R59&lt;=0,S59&lt;0,T59&lt;=0),"",IF(S59=0,R59/T59,-PMT(S59/1200,T59,R59)))</f>
        <v>56638</v>
      </c>
      <c r="V59" s="2" t="s">
        <v>63</v>
      </c>
      <c r="W59" s="5">
        <v>1984</v>
      </c>
      <c r="X59" s="2">
        <v>201</v>
      </c>
      <c r="Y59" s="4">
        <v>17.4</v>
      </c>
      <c r="Z59" s="5"/>
      <c r="AA59" s="6"/>
      <c r="AB59" s="2">
        <v>5</v>
      </c>
      <c r="AC59" s="2">
        <v>4</v>
      </c>
      <c r="AD59" s="2">
        <v>460</v>
      </c>
      <c r="AE59" s="2" t="s">
        <v>211</v>
      </c>
      <c r="AF59" s="2">
        <v>8</v>
      </c>
      <c r="AG59" s="2" t="s">
        <v>63</v>
      </c>
      <c r="AH59" s="2" t="s">
        <v>63</v>
      </c>
      <c r="AI59" s="2" t="s">
        <v>63</v>
      </c>
      <c r="AJ59" s="2" t="s">
        <v>83</v>
      </c>
      <c r="AK59" s="2" t="s">
        <v>101</v>
      </c>
      <c r="AL59" s="5">
        <v>44200</v>
      </c>
      <c r="AM59" s="2" t="s">
        <v>114</v>
      </c>
      <c r="AN59" s="2" t="s">
        <v>164</v>
      </c>
      <c r="AO59" s="2" t="s">
        <v>165</v>
      </c>
      <c r="AP59" s="2" t="s">
        <v>69</v>
      </c>
      <c r="AQ59" s="2" t="s">
        <v>221</v>
      </c>
      <c r="AR59" s="2" t="s">
        <v>71</v>
      </c>
      <c r="AS59" s="2" t="s">
        <v>63</v>
      </c>
      <c r="AT59" s="2" t="s">
        <v>62</v>
      </c>
      <c r="AU59" s="2" t="s">
        <v>62</v>
      </c>
      <c r="AV59" s="2" t="s">
        <v>552</v>
      </c>
      <c r="AW59" s="2" t="s">
        <v>553</v>
      </c>
      <c r="AX59" s="2" t="s">
        <v>335</v>
      </c>
      <c r="AY59" s="3">
        <v>46800</v>
      </c>
      <c r="AZ59" s="2" t="s">
        <v>76</v>
      </c>
      <c r="BA59" s="2"/>
    </row>
    <row r="60" ht="20" customHeight="1" spans="1:53" x14ac:dyDescent="0.25">
      <c r="A60" s="2" t="s">
        <v>554</v>
      </c>
      <c r="B60" s="2" t="s">
        <v>548</v>
      </c>
      <c r="C60" s="2" t="s">
        <v>555</v>
      </c>
      <c r="D60" s="2" t="s">
        <v>556</v>
      </c>
      <c r="E60" s="2" t="s">
        <v>557</v>
      </c>
      <c r="F60" s="2">
        <v>2016</v>
      </c>
      <c r="G60" s="2">
        <v>2016</v>
      </c>
      <c r="H60" s="2" t="s">
        <v>58</v>
      </c>
      <c r="I60" s="2" t="s">
        <v>508</v>
      </c>
      <c r="J60" s="2" t="s">
        <v>60</v>
      </c>
      <c r="K60" s="2" t="s">
        <v>161</v>
      </c>
      <c r="L60" s="2">
        <v>2</v>
      </c>
      <c r="M60" s="3">
        <v>1045000</v>
      </c>
      <c r="N60" s="3">
        <v>4100000</v>
      </c>
      <c r="O60" s="8" t="s">
        <v>63</v>
      </c>
      <c r="P60" s="3">
        <v>995000</v>
      </c>
      <c r="Q60" s="3">
        <v>260000</v>
      </c>
      <c r="R60" s="3">
        <f>IF(V60="No",0,MAX(0,M60-Q60))</f>
        <v>785000</v>
      </c>
      <c r="S60" s="4">
        <v>11.75</v>
      </c>
      <c r="T60" s="2">
        <v>48</v>
      </c>
      <c r="U60" s="3">
        <f>IF(OR(R60&lt;=0,S60&lt;0,T60&lt;=0),"",IF(S60=0,R60/T60,-PMT(S60/1200,T60,R60)))</f>
        <v>20576</v>
      </c>
      <c r="V60" s="2" t="s">
        <v>63</v>
      </c>
      <c r="W60" s="5">
        <v>1984</v>
      </c>
      <c r="X60" s="2">
        <v>187</v>
      </c>
      <c r="Y60" s="4">
        <v>14.93</v>
      </c>
      <c r="Z60" s="5"/>
      <c r="AA60" s="6"/>
      <c r="AB60" s="2">
        <v>5</v>
      </c>
      <c r="AC60" s="2">
        <v>5</v>
      </c>
      <c r="AD60" s="2">
        <v>530</v>
      </c>
      <c r="AE60" s="2" t="s">
        <v>211</v>
      </c>
      <c r="AF60" s="2">
        <v>6</v>
      </c>
      <c r="AG60" s="2" t="s">
        <v>63</v>
      </c>
      <c r="AH60" s="2" t="s">
        <v>63</v>
      </c>
      <c r="AI60" s="2" t="s">
        <v>63</v>
      </c>
      <c r="AJ60" s="2" t="s">
        <v>100</v>
      </c>
      <c r="AK60" s="2" t="s">
        <v>65</v>
      </c>
      <c r="AL60" s="7">
        <v>99000</v>
      </c>
      <c r="AM60" s="2" t="s">
        <v>558</v>
      </c>
      <c r="AN60" s="2" t="s">
        <v>174</v>
      </c>
      <c r="AO60" s="2" t="s">
        <v>175</v>
      </c>
      <c r="AP60" s="2" t="s">
        <v>128</v>
      </c>
      <c r="AQ60" s="2" t="s">
        <v>231</v>
      </c>
      <c r="AR60" s="2" t="s">
        <v>89</v>
      </c>
      <c r="AS60" s="2" t="s">
        <v>63</v>
      </c>
      <c r="AT60" s="2" t="s">
        <v>62</v>
      </c>
      <c r="AU60" s="2" t="s">
        <v>62</v>
      </c>
      <c r="AV60" s="2" t="s">
        <v>559</v>
      </c>
      <c r="AW60" s="2" t="s">
        <v>560</v>
      </c>
      <c r="AX60" s="2" t="s">
        <v>335</v>
      </c>
      <c r="AY60" s="3">
        <v>57400</v>
      </c>
      <c r="AZ60" s="2" t="s">
        <v>76</v>
      </c>
      <c r="BA60" s="2"/>
    </row>
    <row r="61" ht="20" customHeight="1" spans="1:53" x14ac:dyDescent="0.25">
      <c r="A61" s="9" t="s">
        <v>561</v>
      </c>
      <c r="B61" s="9" t="s">
        <v>548</v>
      </c>
      <c r="C61" s="9" t="s">
        <v>562</v>
      </c>
      <c r="D61" s="9" t="s">
        <v>563</v>
      </c>
      <c r="E61" s="9" t="s">
        <v>564</v>
      </c>
      <c r="F61" s="9">
        <v>2026</v>
      </c>
      <c r="G61" s="9">
        <v>2026</v>
      </c>
      <c r="H61" s="9" t="s">
        <v>171</v>
      </c>
      <c r="I61" s="9" t="s">
        <v>508</v>
      </c>
      <c r="J61" s="9" t="s">
        <v>210</v>
      </c>
      <c r="K61" s="9" t="s">
        <v>98</v>
      </c>
      <c r="L61" s="9">
        <v>0</v>
      </c>
      <c r="M61" s="10">
        <v>12700000</v>
      </c>
      <c r="N61" s="10">
        <v>12700000</v>
      </c>
      <c r="O61" s="9" t="s">
        <v>62</v>
      </c>
      <c r="P61" s="10">
        <v>12700000</v>
      </c>
      <c r="Q61" s="10">
        <v>2540000</v>
      </c>
      <c r="R61" s="10">
        <f>IF(V61="No",0,MAX(0,M61-Q61))</f>
        <v>10160000</v>
      </c>
      <c r="S61" s="11">
        <v>8.65</v>
      </c>
      <c r="T61" s="9">
        <v>84</v>
      </c>
      <c r="U61" s="10">
        <f>IF(OR(R61&lt;=0,S61&lt;0,T61&lt;=0),"",IF(S61=0,R61/T61,-PMT(S61/1200,T61,R61)))</f>
        <v>161666</v>
      </c>
      <c r="V61" s="9" t="s">
        <v>63</v>
      </c>
      <c r="W61" s="12"/>
      <c r="X61" s="9">
        <v>402</v>
      </c>
      <c r="Y61" s="11"/>
      <c r="Z61" s="12">
        <v>582</v>
      </c>
      <c r="AA61" s="13">
        <v>114</v>
      </c>
      <c r="AB61" s="9">
        <v>5</v>
      </c>
      <c r="AC61" s="9">
        <v>5</v>
      </c>
      <c r="AD61" s="9">
        <v>569</v>
      </c>
      <c r="AE61" s="9" t="s">
        <v>211</v>
      </c>
      <c r="AF61" s="9">
        <v>8</v>
      </c>
      <c r="AG61" s="9" t="s">
        <v>63</v>
      </c>
      <c r="AH61" s="9" t="s">
        <v>63</v>
      </c>
      <c r="AI61" s="9" t="s">
        <v>63</v>
      </c>
      <c r="AJ61" s="9" t="s">
        <v>113</v>
      </c>
      <c r="AK61" s="9" t="s">
        <v>171</v>
      </c>
      <c r="AL61" s="12">
        <v>29</v>
      </c>
      <c r="AM61" s="9" t="s">
        <v>565</v>
      </c>
      <c r="AN61" s="9" t="s">
        <v>185</v>
      </c>
      <c r="AO61" s="9" t="s">
        <v>186</v>
      </c>
      <c r="AP61" s="9" t="s">
        <v>141</v>
      </c>
      <c r="AQ61" s="9" t="s">
        <v>239</v>
      </c>
      <c r="AR61" s="9" t="s">
        <v>89</v>
      </c>
      <c r="AS61" s="9" t="s">
        <v>63</v>
      </c>
      <c r="AT61" s="9" t="s">
        <v>63</v>
      </c>
      <c r="AU61" s="9" t="s">
        <v>62</v>
      </c>
      <c r="AV61" s="9" t="s">
        <v>566</v>
      </c>
      <c r="AW61" s="9" t="s">
        <v>567</v>
      </c>
      <c r="AX61" s="9" t="s">
        <v>335</v>
      </c>
      <c r="AY61" s="10">
        <v>29000</v>
      </c>
      <c r="AZ61" s="9" t="s">
        <v>76</v>
      </c>
      <c r="BA61" s="9"/>
    </row>
    <row r="62" ht="20" customHeight="1" spans="1:53" x14ac:dyDescent="0.25">
      <c r="A62" s="2" t="s">
        <v>568</v>
      </c>
      <c r="B62" s="2" t="s">
        <v>569</v>
      </c>
      <c r="C62" s="2" t="s">
        <v>570</v>
      </c>
      <c r="D62" s="2" t="s">
        <v>571</v>
      </c>
      <c r="E62" s="2" t="s">
        <v>572</v>
      </c>
      <c r="F62" s="2">
        <v>2018</v>
      </c>
      <c r="G62" s="2">
        <v>2019</v>
      </c>
      <c r="H62" s="2" t="s">
        <v>58</v>
      </c>
      <c r="I62" s="2" t="s">
        <v>97</v>
      </c>
      <c r="J62" s="2" t="s">
        <v>172</v>
      </c>
      <c r="K62" s="2" t="s">
        <v>98</v>
      </c>
      <c r="L62" s="2">
        <v>3</v>
      </c>
      <c r="M62" s="3">
        <v>1065000</v>
      </c>
      <c r="N62" s="3">
        <v>2595000</v>
      </c>
      <c r="O62" s="2" t="s">
        <v>62</v>
      </c>
      <c r="P62" s="3">
        <v>1065000</v>
      </c>
      <c r="Q62" s="3">
        <v>265000</v>
      </c>
      <c r="R62" s="3">
        <f>IF(V62="No",0,MAX(0,M62-Q62))</f>
        <v>800000</v>
      </c>
      <c r="S62" s="4">
        <v>11.45</v>
      </c>
      <c r="T62" s="2">
        <v>36</v>
      </c>
      <c r="U62" s="3">
        <f>IF(OR(R62&lt;=0,S62&lt;0,T62&lt;=0),"",IF(S62=0,R62/T62,-PMT(S62/1200,T62,R62)))</f>
        <v>26362</v>
      </c>
      <c r="V62" s="2" t="s">
        <v>63</v>
      </c>
      <c r="W62" s="5">
        <v>1956</v>
      </c>
      <c r="X62" s="2">
        <v>168</v>
      </c>
      <c r="Y62" s="4">
        <v>14.9</v>
      </c>
      <c r="Z62" s="5"/>
      <c r="AA62" s="6"/>
      <c r="AB62" s="2">
        <v>5</v>
      </c>
      <c r="AC62" s="2">
        <v>5</v>
      </c>
      <c r="AD62" s="2">
        <v>438</v>
      </c>
      <c r="AE62" s="2" t="s">
        <v>211</v>
      </c>
      <c r="AF62" s="2">
        <v>6</v>
      </c>
      <c r="AG62" s="2" t="s">
        <v>63</v>
      </c>
      <c r="AH62" s="2" t="s">
        <v>63</v>
      </c>
      <c r="AI62" s="2" t="s">
        <v>63</v>
      </c>
      <c r="AJ62" s="2" t="s">
        <v>64</v>
      </c>
      <c r="AK62" s="2" t="s">
        <v>65</v>
      </c>
      <c r="AL62" s="7">
        <v>111600</v>
      </c>
      <c r="AM62" s="2" t="s">
        <v>573</v>
      </c>
      <c r="AN62" s="2" t="s">
        <v>67</v>
      </c>
      <c r="AO62" s="2" t="s">
        <v>68</v>
      </c>
      <c r="AP62" s="2" t="s">
        <v>69</v>
      </c>
      <c r="AQ62" s="2" t="s">
        <v>247</v>
      </c>
      <c r="AR62" s="2" t="s">
        <v>71</v>
      </c>
      <c r="AS62" s="2" t="s">
        <v>63</v>
      </c>
      <c r="AT62" s="2" t="s">
        <v>62</v>
      </c>
      <c r="AU62" s="2" t="s">
        <v>72</v>
      </c>
      <c r="AV62" s="2" t="s">
        <v>574</v>
      </c>
      <c r="AW62" s="2" t="s">
        <v>575</v>
      </c>
      <c r="AX62" s="2" t="s">
        <v>197</v>
      </c>
      <c r="AY62" s="3">
        <v>20500</v>
      </c>
      <c r="AZ62" s="2" t="s">
        <v>76</v>
      </c>
      <c r="BA62" s="2"/>
    </row>
    <row r="63" ht="20" customHeight="1" spans="1:53" x14ac:dyDescent="0.25">
      <c r="A63" s="2" t="s">
        <v>576</v>
      </c>
      <c r="B63" s="2" t="s">
        <v>54</v>
      </c>
      <c r="C63" s="2" t="s">
        <v>55</v>
      </c>
      <c r="D63" s="2" t="s">
        <v>56</v>
      </c>
      <c r="E63" s="2" t="s">
        <v>57</v>
      </c>
      <c r="F63" s="2">
        <v>2025</v>
      </c>
      <c r="G63" s="2">
        <v>2025</v>
      </c>
      <c r="H63" s="2" t="s">
        <v>58</v>
      </c>
      <c r="I63" s="2" t="s">
        <v>59</v>
      </c>
      <c r="J63" s="2" t="s">
        <v>60</v>
      </c>
      <c r="K63" s="2" t="s">
        <v>61</v>
      </c>
      <c r="L63" s="2">
        <v>1</v>
      </c>
      <c r="M63" s="3">
        <v>790000</v>
      </c>
      <c r="N63" s="3">
        <v>875000</v>
      </c>
      <c r="O63" s="8" t="s">
        <v>63</v>
      </c>
      <c r="P63" s="3">
        <v>750000</v>
      </c>
      <c r="Q63" s="3">
        <v>200000</v>
      </c>
      <c r="R63" s="3">
        <f>IF(V63="No",0,MAX(0,M63-Q63))</f>
        <v>590000</v>
      </c>
      <c r="S63" s="4">
        <v>10.4</v>
      </c>
      <c r="T63" s="2">
        <v>48</v>
      </c>
      <c r="U63" s="3">
        <f>IF(OR(R63&lt;=0,S63&lt;0,T63&lt;=0),"",IF(S63=0,R63/T63,-PMT(S63/1200,T63,R63)))</f>
        <v>15078</v>
      </c>
      <c r="V63" s="2" t="s">
        <v>63</v>
      </c>
      <c r="W63" s="5">
        <v>1197</v>
      </c>
      <c r="X63" s="2">
        <v>89</v>
      </c>
      <c r="Y63" s="4">
        <v>22.38</v>
      </c>
      <c r="Z63" s="5"/>
      <c r="AA63" s="6"/>
      <c r="AB63" s="2">
        <v>5</v>
      </c>
      <c r="AC63" s="2">
        <v>5</v>
      </c>
      <c r="AD63" s="2">
        <v>268</v>
      </c>
      <c r="AE63" s="2"/>
      <c r="AF63" s="2">
        <v>6</v>
      </c>
      <c r="AG63" s="2" t="s">
        <v>63</v>
      </c>
      <c r="AH63" s="2" t="s">
        <v>63</v>
      </c>
      <c r="AI63" s="2" t="s">
        <v>63</v>
      </c>
      <c r="AJ63" s="2" t="s">
        <v>83</v>
      </c>
      <c r="AK63" s="2" t="s">
        <v>84</v>
      </c>
      <c r="AL63" s="5">
        <v>9100</v>
      </c>
      <c r="AM63" s="2" t="s">
        <v>163</v>
      </c>
      <c r="AN63" s="2" t="s">
        <v>86</v>
      </c>
      <c r="AO63" s="2" t="s">
        <v>87</v>
      </c>
      <c r="AP63" s="2" t="s">
        <v>69</v>
      </c>
      <c r="AQ63" s="2" t="s">
        <v>255</v>
      </c>
      <c r="AR63" s="2" t="s">
        <v>89</v>
      </c>
      <c r="AS63" s="2" t="s">
        <v>63</v>
      </c>
      <c r="AT63" s="2" t="s">
        <v>63</v>
      </c>
      <c r="AU63" s="2" t="s">
        <v>62</v>
      </c>
      <c r="AV63" s="2" t="s">
        <v>73</v>
      </c>
      <c r="AW63" s="2" t="s">
        <v>577</v>
      </c>
      <c r="AX63" s="2" t="s">
        <v>75</v>
      </c>
      <c r="AY63" s="3">
        <v>6800</v>
      </c>
      <c r="AZ63" s="2" t="s">
        <v>76</v>
      </c>
      <c r="BA63" s="2"/>
    </row>
    <row r="64" ht="20" customHeight="1" spans="1:53" x14ac:dyDescent="0.25">
      <c r="A64" s="2" t="s">
        <v>578</v>
      </c>
      <c r="B64" s="2" t="s">
        <v>54</v>
      </c>
      <c r="C64" s="2" t="s">
        <v>78</v>
      </c>
      <c r="D64" s="2" t="s">
        <v>79</v>
      </c>
      <c r="E64" s="2" t="s">
        <v>80</v>
      </c>
      <c r="F64" s="2">
        <v>2020</v>
      </c>
      <c r="G64" s="2">
        <v>2020</v>
      </c>
      <c r="H64" s="2" t="s">
        <v>58</v>
      </c>
      <c r="I64" s="2" t="s">
        <v>59</v>
      </c>
      <c r="J64" s="2" t="s">
        <v>60</v>
      </c>
      <c r="K64" s="2" t="s">
        <v>81</v>
      </c>
      <c r="L64" s="2">
        <v>1</v>
      </c>
      <c r="M64" s="3">
        <v>460000</v>
      </c>
      <c r="N64" s="3">
        <v>840000</v>
      </c>
      <c r="O64" s="8" t="s">
        <v>63</v>
      </c>
      <c r="P64" s="3">
        <v>440000</v>
      </c>
      <c r="Q64" s="3">
        <v>115000</v>
      </c>
      <c r="R64" s="3">
        <f>IF(V64="No",0,MAX(0,M64-Q64))</f>
        <v>345000</v>
      </c>
      <c r="S64" s="4">
        <v>11.15</v>
      </c>
      <c r="T64" s="2">
        <v>60</v>
      </c>
      <c r="U64" s="3">
        <f>IF(OR(R64&lt;=0,S64&lt;0,T64&lt;=0),"",IF(S64=0,R64/T64,-PMT(S64/1200,T64,R64)))</f>
        <v>7527</v>
      </c>
      <c r="V64" s="2" t="s">
        <v>63</v>
      </c>
      <c r="W64" s="5">
        <v>1197</v>
      </c>
      <c r="X64" s="2">
        <v>89</v>
      </c>
      <c r="Y64" s="4">
        <v>22.94</v>
      </c>
      <c r="Z64" s="5"/>
      <c r="AA64" s="6"/>
      <c r="AB64" s="2">
        <v>5</v>
      </c>
      <c r="AC64" s="2">
        <v>5</v>
      </c>
      <c r="AD64" s="2">
        <v>318</v>
      </c>
      <c r="AE64" s="2" t="s">
        <v>82</v>
      </c>
      <c r="AF64" s="2">
        <v>6</v>
      </c>
      <c r="AG64" s="2" t="s">
        <v>63</v>
      </c>
      <c r="AH64" s="2" t="s">
        <v>63</v>
      </c>
      <c r="AI64" s="2" t="s">
        <v>63</v>
      </c>
      <c r="AJ64" s="2" t="s">
        <v>100</v>
      </c>
      <c r="AK64" s="2" t="s">
        <v>101</v>
      </c>
      <c r="AL64" s="5">
        <v>54300</v>
      </c>
      <c r="AM64" s="2" t="s">
        <v>579</v>
      </c>
      <c r="AN64" s="2" t="s">
        <v>103</v>
      </c>
      <c r="AO64" s="2" t="s">
        <v>104</v>
      </c>
      <c r="AP64" s="2" t="s">
        <v>69</v>
      </c>
      <c r="AQ64" s="2" t="s">
        <v>263</v>
      </c>
      <c r="AR64" s="2" t="s">
        <v>89</v>
      </c>
      <c r="AS64" s="2" t="s">
        <v>63</v>
      </c>
      <c r="AT64" s="2" t="s">
        <v>62</v>
      </c>
      <c r="AU64" s="2" t="s">
        <v>62</v>
      </c>
      <c r="AV64" s="2" t="s">
        <v>90</v>
      </c>
      <c r="AW64" s="2" t="s">
        <v>580</v>
      </c>
      <c r="AX64" s="2" t="s">
        <v>92</v>
      </c>
      <c r="AY64" s="3">
        <v>8400</v>
      </c>
      <c r="AZ64" s="2" t="s">
        <v>76</v>
      </c>
      <c r="BA64" s="2"/>
    </row>
    <row r="65" ht="20" customHeight="1" spans="1:53" x14ac:dyDescent="0.25">
      <c r="A65" s="2" t="s">
        <v>581</v>
      </c>
      <c r="B65" s="2" t="s">
        <v>54</v>
      </c>
      <c r="C65" s="2" t="s">
        <v>94</v>
      </c>
      <c r="D65" s="2" t="s">
        <v>95</v>
      </c>
      <c r="E65" s="2" t="s">
        <v>96</v>
      </c>
      <c r="F65" s="2">
        <v>2015</v>
      </c>
      <c r="G65" s="2">
        <v>2015</v>
      </c>
      <c r="H65" s="2" t="s">
        <v>58</v>
      </c>
      <c r="I65" s="2" t="s">
        <v>97</v>
      </c>
      <c r="J65" s="2" t="s">
        <v>60</v>
      </c>
      <c r="K65" s="2" t="s">
        <v>98</v>
      </c>
      <c r="L65" s="2">
        <v>2</v>
      </c>
      <c r="M65" s="3">
        <v>310000</v>
      </c>
      <c r="N65" s="3">
        <v>1015000</v>
      </c>
      <c r="O65" s="2" t="s">
        <v>62</v>
      </c>
      <c r="P65" s="3">
        <v>310000</v>
      </c>
      <c r="Q65" s="3">
        <v>80000</v>
      </c>
      <c r="R65" s="3">
        <f>IF(V65="No",0,MAX(0,M65-Q65))</f>
        <v>0</v>
      </c>
      <c r="S65" s="4">
        <v>0</v>
      </c>
      <c r="T65" s="2">
        <v>0</v>
      </c>
      <c r="U65" s="3" t="str">
        <f>IF(OR(R65&lt;=0,S65&lt;0,T65&lt;=0),"",IF(S65=0,R65/T65,-PMT(S65/1200,T65,R65)))</f>
        <v/>
      </c>
      <c r="V65" s="2" t="s">
        <v>62</v>
      </c>
      <c r="W65" s="5">
        <v>1462</v>
      </c>
      <c r="X65" s="2">
        <v>102</v>
      </c>
      <c r="Y65" s="4">
        <v>19.8</v>
      </c>
      <c r="Z65" s="5"/>
      <c r="AA65" s="6"/>
      <c r="AB65" s="2">
        <v>5</v>
      </c>
      <c r="AC65" s="2">
        <v>5</v>
      </c>
      <c r="AD65" s="2">
        <v>328</v>
      </c>
      <c r="AE65" s="2" t="s">
        <v>99</v>
      </c>
      <c r="AF65" s="2">
        <v>6</v>
      </c>
      <c r="AG65" s="2" t="s">
        <v>63</v>
      </c>
      <c r="AH65" s="2" t="s">
        <v>63</v>
      </c>
      <c r="AI65" s="2" t="s">
        <v>63</v>
      </c>
      <c r="AJ65" s="2" t="s">
        <v>113</v>
      </c>
      <c r="AK65" s="2" t="s">
        <v>65</v>
      </c>
      <c r="AL65" s="7">
        <v>105500</v>
      </c>
      <c r="AM65" s="2" t="s">
        <v>184</v>
      </c>
      <c r="AN65" s="2" t="s">
        <v>115</v>
      </c>
      <c r="AO65" s="2" t="s">
        <v>116</v>
      </c>
      <c r="AP65" s="2" t="s">
        <v>69</v>
      </c>
      <c r="AQ65" s="2" t="s">
        <v>271</v>
      </c>
      <c r="AR65" s="2" t="s">
        <v>71</v>
      </c>
      <c r="AS65" s="2" t="s">
        <v>62</v>
      </c>
      <c r="AT65" s="2" t="s">
        <v>62</v>
      </c>
      <c r="AU65" s="2" t="s">
        <v>62</v>
      </c>
      <c r="AV65" s="2" t="s">
        <v>106</v>
      </c>
      <c r="AW65" s="2" t="s">
        <v>582</v>
      </c>
      <c r="AX65" s="2" t="s">
        <v>92</v>
      </c>
      <c r="AY65" s="3">
        <v>11800</v>
      </c>
      <c r="AZ65" s="2" t="s">
        <v>76</v>
      </c>
      <c r="BA65" s="2"/>
    </row>
    <row r="66" ht="20" customHeight="1" spans="1:53" x14ac:dyDescent="0.25">
      <c r="A66" s="2" t="s">
        <v>583</v>
      </c>
      <c r="B66" s="2" t="s">
        <v>54</v>
      </c>
      <c r="C66" s="2" t="s">
        <v>109</v>
      </c>
      <c r="D66" s="2" t="s">
        <v>110</v>
      </c>
      <c r="E66" s="2" t="s">
        <v>111</v>
      </c>
      <c r="F66" s="2">
        <v>2022</v>
      </c>
      <c r="G66" s="2">
        <v>2022</v>
      </c>
      <c r="H66" s="2" t="s">
        <v>58</v>
      </c>
      <c r="I66" s="2" t="s">
        <v>59</v>
      </c>
      <c r="J66" s="2" t="s">
        <v>112</v>
      </c>
      <c r="K66" s="2" t="s">
        <v>61</v>
      </c>
      <c r="L66" s="2">
        <v>1</v>
      </c>
      <c r="M66" s="3">
        <v>415000</v>
      </c>
      <c r="N66" s="3">
        <v>620000</v>
      </c>
      <c r="O66" s="8" t="s">
        <v>63</v>
      </c>
      <c r="P66" s="3">
        <v>395000</v>
      </c>
      <c r="Q66" s="3">
        <v>105000</v>
      </c>
      <c r="R66" s="3">
        <f>IF(V66="No",0,MAX(0,M66-Q66))</f>
        <v>310000</v>
      </c>
      <c r="S66" s="4">
        <v>10.85</v>
      </c>
      <c r="T66" s="2">
        <v>48</v>
      </c>
      <c r="U66" s="3">
        <f>IF(OR(R66&lt;=0,S66&lt;0,T66&lt;=0),"",IF(S66=0,R66/T66,-PMT(S66/1200,T66,R66)))</f>
        <v>7990</v>
      </c>
      <c r="V66" s="2" t="s">
        <v>63</v>
      </c>
      <c r="W66" s="5">
        <v>998</v>
      </c>
      <c r="X66" s="2">
        <v>56</v>
      </c>
      <c r="Y66" s="4">
        <v>33.47</v>
      </c>
      <c r="Z66" s="5"/>
      <c r="AA66" s="6"/>
      <c r="AB66" s="2">
        <v>5</v>
      </c>
      <c r="AC66" s="2">
        <v>5</v>
      </c>
      <c r="AD66" s="2">
        <v>341</v>
      </c>
      <c r="AE66" s="2"/>
      <c r="AF66" s="2">
        <v>2</v>
      </c>
      <c r="AG66" s="2" t="s">
        <v>63</v>
      </c>
      <c r="AH66" s="2" t="s">
        <v>62</v>
      </c>
      <c r="AI66" s="2" t="s">
        <v>63</v>
      </c>
      <c r="AJ66" s="2" t="s">
        <v>64</v>
      </c>
      <c r="AK66" s="2" t="s">
        <v>101</v>
      </c>
      <c r="AL66" s="5">
        <v>47200</v>
      </c>
      <c r="AM66" s="2" t="s">
        <v>584</v>
      </c>
      <c r="AN66" s="2" t="s">
        <v>127</v>
      </c>
      <c r="AO66" s="2" t="s">
        <v>127</v>
      </c>
      <c r="AP66" s="2" t="s">
        <v>128</v>
      </c>
      <c r="AQ66" s="2" t="s">
        <v>280</v>
      </c>
      <c r="AR66" s="2" t="s">
        <v>89</v>
      </c>
      <c r="AS66" s="2" t="s">
        <v>63</v>
      </c>
      <c r="AT66" s="2" t="s">
        <v>63</v>
      </c>
      <c r="AU66" s="2" t="s">
        <v>62</v>
      </c>
      <c r="AV66" s="2" t="s">
        <v>118</v>
      </c>
      <c r="AW66" s="2" t="s">
        <v>585</v>
      </c>
      <c r="AX66" s="2" t="s">
        <v>120</v>
      </c>
      <c r="AY66" s="3">
        <v>6400</v>
      </c>
      <c r="AZ66" s="2" t="s">
        <v>76</v>
      </c>
      <c r="BA66" s="2"/>
    </row>
    <row r="67" ht="20" customHeight="1" spans="1:53" x14ac:dyDescent="0.25">
      <c r="A67" s="2" t="s">
        <v>586</v>
      </c>
      <c r="B67" s="2" t="s">
        <v>54</v>
      </c>
      <c r="C67" s="2" t="s">
        <v>122</v>
      </c>
      <c r="D67" s="2" t="s">
        <v>123</v>
      </c>
      <c r="E67" s="2" t="s">
        <v>124</v>
      </c>
      <c r="F67" s="2">
        <v>2017</v>
      </c>
      <c r="G67" s="2">
        <v>2018</v>
      </c>
      <c r="H67" s="2" t="s">
        <v>58</v>
      </c>
      <c r="I67" s="2" t="s">
        <v>125</v>
      </c>
      <c r="J67" s="2" t="s">
        <v>112</v>
      </c>
      <c r="K67" s="2" t="s">
        <v>61</v>
      </c>
      <c r="L67" s="2">
        <v>2</v>
      </c>
      <c r="M67" s="3">
        <v>340000</v>
      </c>
      <c r="N67" s="3">
        <v>920000</v>
      </c>
      <c r="O67" s="8" t="s">
        <v>63</v>
      </c>
      <c r="P67" s="3">
        <v>325000</v>
      </c>
      <c r="Q67" s="3">
        <v>85000</v>
      </c>
      <c r="R67" s="3">
        <f>IF(V67="No",0,MAX(0,M67-Q67))</f>
        <v>255000</v>
      </c>
      <c r="S67" s="4">
        <v>11.6</v>
      </c>
      <c r="T67" s="2">
        <v>60</v>
      </c>
      <c r="U67" s="3">
        <f>IF(OR(R67&lt;=0,S67&lt;0,T67&lt;=0),"",IF(S67=0,R67/T67,-PMT(S67/1200,T67,R67)))</f>
        <v>5621</v>
      </c>
      <c r="V67" s="2" t="s">
        <v>63</v>
      </c>
      <c r="W67" s="5">
        <v>1462</v>
      </c>
      <c r="X67" s="2">
        <v>87</v>
      </c>
      <c r="Y67" s="4">
        <v>26.11</v>
      </c>
      <c r="Z67" s="5"/>
      <c r="AA67" s="6"/>
      <c r="AB67" s="2">
        <v>7</v>
      </c>
      <c r="AC67" s="2">
        <v>5</v>
      </c>
      <c r="AD67" s="2">
        <v>209</v>
      </c>
      <c r="AE67" s="2"/>
      <c r="AF67" s="2">
        <v>4</v>
      </c>
      <c r="AG67" s="2" t="s">
        <v>63</v>
      </c>
      <c r="AH67" s="2" t="s">
        <v>63</v>
      </c>
      <c r="AI67" s="2" t="s">
        <v>63</v>
      </c>
      <c r="AJ67" s="2" t="s">
        <v>83</v>
      </c>
      <c r="AK67" s="2" t="s">
        <v>65</v>
      </c>
      <c r="AL67" s="7">
        <v>116100</v>
      </c>
      <c r="AM67" s="2" t="s">
        <v>202</v>
      </c>
      <c r="AN67" s="2" t="s">
        <v>115</v>
      </c>
      <c r="AO67" s="2" t="s">
        <v>140</v>
      </c>
      <c r="AP67" s="2" t="s">
        <v>141</v>
      </c>
      <c r="AQ67" s="2" t="s">
        <v>289</v>
      </c>
      <c r="AR67" s="2" t="s">
        <v>89</v>
      </c>
      <c r="AS67" s="2" t="s">
        <v>63</v>
      </c>
      <c r="AT67" s="2" t="s">
        <v>62</v>
      </c>
      <c r="AU67" s="2" t="s">
        <v>62</v>
      </c>
      <c r="AV67" s="2" t="s">
        <v>130</v>
      </c>
      <c r="AW67" s="2" t="s">
        <v>587</v>
      </c>
      <c r="AX67" s="2" t="s">
        <v>92</v>
      </c>
      <c r="AY67" s="3">
        <v>10600</v>
      </c>
      <c r="AZ67" s="2" t="s">
        <v>76</v>
      </c>
      <c r="BA67" s="2"/>
    </row>
    <row r="68" ht="20" customHeight="1" spans="1:53" x14ac:dyDescent="0.25">
      <c r="A68" s="2" t="s">
        <v>588</v>
      </c>
      <c r="B68" s="2" t="s">
        <v>54</v>
      </c>
      <c r="C68" s="2" t="s">
        <v>133</v>
      </c>
      <c r="D68" s="2" t="s">
        <v>134</v>
      </c>
      <c r="E68" s="2" t="s">
        <v>135</v>
      </c>
      <c r="F68" s="2">
        <v>2025</v>
      </c>
      <c r="G68" s="2">
        <v>2025</v>
      </c>
      <c r="H68" s="2" t="s">
        <v>58</v>
      </c>
      <c r="I68" s="2" t="s">
        <v>97</v>
      </c>
      <c r="J68" s="2" t="s">
        <v>136</v>
      </c>
      <c r="K68" s="2" t="s">
        <v>137</v>
      </c>
      <c r="L68" s="2">
        <v>1</v>
      </c>
      <c r="M68" s="3">
        <v>1765000</v>
      </c>
      <c r="N68" s="3">
        <v>1950000</v>
      </c>
      <c r="O68" s="2" t="s">
        <v>62</v>
      </c>
      <c r="P68" s="3">
        <v>1765000</v>
      </c>
      <c r="Q68" s="3">
        <v>440000</v>
      </c>
      <c r="R68" s="3">
        <f>IF(V68="No",0,MAX(0,M68-Q68))</f>
        <v>1325000</v>
      </c>
      <c r="S68" s="4">
        <v>10.4</v>
      </c>
      <c r="T68" s="2">
        <v>36</v>
      </c>
      <c r="U68" s="3">
        <f>IF(OR(R68&lt;=0,S68&lt;0,T68&lt;=0),"",IF(S68=0,R68/T68,-PMT(S68/1200,T68,R68)))</f>
        <v>43003</v>
      </c>
      <c r="V68" s="2" t="s">
        <v>63</v>
      </c>
      <c r="W68" s="5">
        <v>1490</v>
      </c>
      <c r="X68" s="2">
        <v>114</v>
      </c>
      <c r="Y68" s="4">
        <v>27.97</v>
      </c>
      <c r="Z68" s="5"/>
      <c r="AA68" s="6"/>
      <c r="AB68" s="2">
        <v>5</v>
      </c>
      <c r="AC68" s="2">
        <v>5</v>
      </c>
      <c r="AD68" s="2">
        <v>265</v>
      </c>
      <c r="AE68" s="2" t="s">
        <v>138</v>
      </c>
      <c r="AF68" s="2">
        <v>6</v>
      </c>
      <c r="AG68" s="2" t="s">
        <v>63</v>
      </c>
      <c r="AH68" s="2" t="s">
        <v>63</v>
      </c>
      <c r="AI68" s="2" t="s">
        <v>63</v>
      </c>
      <c r="AJ68" s="2" t="s">
        <v>100</v>
      </c>
      <c r="AK68" s="2" t="s">
        <v>84</v>
      </c>
      <c r="AL68" s="5">
        <v>11700</v>
      </c>
      <c r="AM68" s="2" t="s">
        <v>589</v>
      </c>
      <c r="AN68" s="2" t="s">
        <v>67</v>
      </c>
      <c r="AO68" s="2" t="s">
        <v>152</v>
      </c>
      <c r="AP68" s="2" t="s">
        <v>69</v>
      </c>
      <c r="AQ68" s="2" t="s">
        <v>70</v>
      </c>
      <c r="AR68" s="2" t="s">
        <v>71</v>
      </c>
      <c r="AS68" s="2" t="s">
        <v>63</v>
      </c>
      <c r="AT68" s="2" t="s">
        <v>63</v>
      </c>
      <c r="AU68" s="2" t="s">
        <v>62</v>
      </c>
      <c r="AV68" s="2" t="s">
        <v>143</v>
      </c>
      <c r="AW68" s="2" t="s">
        <v>590</v>
      </c>
      <c r="AX68" s="2" t="s">
        <v>92</v>
      </c>
      <c r="AY68" s="3">
        <v>9600</v>
      </c>
      <c r="AZ68" s="2" t="s">
        <v>76</v>
      </c>
      <c r="BA68" s="2"/>
    </row>
    <row r="69" ht="20" customHeight="1" spans="1:53" x14ac:dyDescent="0.25">
      <c r="A69" s="2" t="s">
        <v>591</v>
      </c>
      <c r="B69" s="2" t="s">
        <v>54</v>
      </c>
      <c r="C69" s="2" t="s">
        <v>146</v>
      </c>
      <c r="D69" s="2" t="s">
        <v>147</v>
      </c>
      <c r="E69" s="2" t="s">
        <v>148</v>
      </c>
      <c r="F69" s="2">
        <v>2019</v>
      </c>
      <c r="G69" s="2">
        <v>2019</v>
      </c>
      <c r="H69" s="2" t="s">
        <v>58</v>
      </c>
      <c r="I69" s="2" t="s">
        <v>149</v>
      </c>
      <c r="J69" s="2" t="s">
        <v>60</v>
      </c>
      <c r="K69" s="2" t="s">
        <v>81</v>
      </c>
      <c r="L69" s="2">
        <v>1</v>
      </c>
      <c r="M69" s="3">
        <v>415000</v>
      </c>
      <c r="N69" s="3">
        <v>835000</v>
      </c>
      <c r="O69" s="8" t="s">
        <v>63</v>
      </c>
      <c r="P69" s="3">
        <v>395000</v>
      </c>
      <c r="Q69" s="3">
        <v>105000</v>
      </c>
      <c r="R69" s="3">
        <f>IF(V69="No",0,MAX(0,M69-Q69))</f>
        <v>310000</v>
      </c>
      <c r="S69" s="4">
        <v>11.3</v>
      </c>
      <c r="T69" s="2">
        <v>48</v>
      </c>
      <c r="U69" s="3">
        <f>IF(OR(R69&lt;=0,S69&lt;0,T69&lt;=0),"",IF(S69=0,R69/T69,-PMT(S69/1200,T69,R69)))</f>
        <v>8057</v>
      </c>
      <c r="V69" s="2" t="s">
        <v>63</v>
      </c>
      <c r="W69" s="5">
        <v>1197</v>
      </c>
      <c r="X69" s="2">
        <v>80</v>
      </c>
      <c r="Y69" s="4">
        <v>25.71</v>
      </c>
      <c r="Z69" s="5"/>
      <c r="AA69" s="6"/>
      <c r="AB69" s="2">
        <v>5</v>
      </c>
      <c r="AC69" s="2">
        <v>4</v>
      </c>
      <c r="AD69" s="2">
        <v>382</v>
      </c>
      <c r="AE69" s="2" t="s">
        <v>150</v>
      </c>
      <c r="AF69" s="2">
        <v>6</v>
      </c>
      <c r="AG69" s="2" t="s">
        <v>63</v>
      </c>
      <c r="AH69" s="2" t="s">
        <v>63</v>
      </c>
      <c r="AI69" s="2" t="s">
        <v>63</v>
      </c>
      <c r="AJ69" s="2" t="s">
        <v>113</v>
      </c>
      <c r="AK69" s="2" t="s">
        <v>162</v>
      </c>
      <c r="AL69" s="5">
        <v>69600</v>
      </c>
      <c r="AM69" s="2" t="s">
        <v>220</v>
      </c>
      <c r="AN69" s="2" t="s">
        <v>164</v>
      </c>
      <c r="AO69" s="2" t="s">
        <v>165</v>
      </c>
      <c r="AP69" s="2" t="s">
        <v>69</v>
      </c>
      <c r="AQ69" s="2" t="s">
        <v>88</v>
      </c>
      <c r="AR69" s="2" t="s">
        <v>89</v>
      </c>
      <c r="AS69" s="2" t="s">
        <v>63</v>
      </c>
      <c r="AT69" s="2" t="s">
        <v>62</v>
      </c>
      <c r="AU69" s="2" t="s">
        <v>62</v>
      </c>
      <c r="AV69" s="2" t="s">
        <v>154</v>
      </c>
      <c r="AW69" s="2" t="s">
        <v>592</v>
      </c>
      <c r="AX69" s="2" t="s">
        <v>92</v>
      </c>
      <c r="AY69" s="3">
        <v>8400</v>
      </c>
      <c r="AZ69" s="2" t="s">
        <v>76</v>
      </c>
      <c r="BA69" s="2"/>
    </row>
    <row r="70" ht="20" customHeight="1" spans="1:53" x14ac:dyDescent="0.25">
      <c r="A70" s="2" t="s">
        <v>593</v>
      </c>
      <c r="B70" s="2" t="s">
        <v>157</v>
      </c>
      <c r="C70" s="2" t="s">
        <v>158</v>
      </c>
      <c r="D70" s="2" t="s">
        <v>159</v>
      </c>
      <c r="E70" s="2" t="s">
        <v>160</v>
      </c>
      <c r="F70" s="2">
        <v>2026</v>
      </c>
      <c r="G70" s="2">
        <v>2026</v>
      </c>
      <c r="H70" s="2" t="s">
        <v>171</v>
      </c>
      <c r="I70" s="2" t="s">
        <v>97</v>
      </c>
      <c r="J70" s="2" t="s">
        <v>60</v>
      </c>
      <c r="K70" s="2" t="s">
        <v>161</v>
      </c>
      <c r="L70" s="2">
        <v>0</v>
      </c>
      <c r="M70" s="3">
        <v>2015000</v>
      </c>
      <c r="N70" s="3">
        <v>2015000</v>
      </c>
      <c r="O70" s="8" t="s">
        <v>63</v>
      </c>
      <c r="P70" s="3">
        <v>1935000</v>
      </c>
      <c r="Q70" s="3">
        <v>405000</v>
      </c>
      <c r="R70" s="3">
        <f>IF(V70="No",0,MAX(0,M70-Q70))</f>
        <v>1610000</v>
      </c>
      <c r="S70" s="4">
        <v>8.95</v>
      </c>
      <c r="T70" s="2">
        <v>84</v>
      </c>
      <c r="U70" s="3">
        <f>IF(OR(R70&lt;=0,S70&lt;0,T70&lt;=0),"",IF(S70=0,R70/T70,-PMT(S70/1200,T70,R70)))</f>
        <v>25863</v>
      </c>
      <c r="V70" s="2" t="s">
        <v>63</v>
      </c>
      <c r="W70" s="5">
        <v>1482</v>
      </c>
      <c r="X70" s="2">
        <v>158</v>
      </c>
      <c r="Y70" s="4">
        <v>18.4</v>
      </c>
      <c r="Z70" s="5"/>
      <c r="AA70" s="6"/>
      <c r="AB70" s="2">
        <v>5</v>
      </c>
      <c r="AC70" s="2">
        <v>5</v>
      </c>
      <c r="AD70" s="2">
        <v>433</v>
      </c>
      <c r="AE70" s="2"/>
      <c r="AF70" s="2">
        <v>6</v>
      </c>
      <c r="AG70" s="2" t="s">
        <v>63</v>
      </c>
      <c r="AH70" s="2" t="s">
        <v>63</v>
      </c>
      <c r="AI70" s="2" t="s">
        <v>63</v>
      </c>
      <c r="AJ70" s="2" t="s">
        <v>64</v>
      </c>
      <c r="AK70" s="2" t="s">
        <v>171</v>
      </c>
      <c r="AL70" s="5">
        <v>38</v>
      </c>
      <c r="AM70" s="2" t="s">
        <v>594</v>
      </c>
      <c r="AN70" s="2" t="s">
        <v>174</v>
      </c>
      <c r="AO70" s="2" t="s">
        <v>175</v>
      </c>
      <c r="AP70" s="2" t="s">
        <v>69</v>
      </c>
      <c r="AQ70" s="2" t="s">
        <v>105</v>
      </c>
      <c r="AR70" s="2" t="s">
        <v>89</v>
      </c>
      <c r="AS70" s="2" t="s">
        <v>63</v>
      </c>
      <c r="AT70" s="2" t="s">
        <v>63</v>
      </c>
      <c r="AU70" s="2" t="s">
        <v>62</v>
      </c>
      <c r="AV70" s="2" t="s">
        <v>167</v>
      </c>
      <c r="AW70" s="2" t="s">
        <v>595</v>
      </c>
      <c r="AX70" s="2" t="s">
        <v>92</v>
      </c>
      <c r="AY70" s="3">
        <v>9800</v>
      </c>
      <c r="AZ70" s="2" t="s">
        <v>76</v>
      </c>
      <c r="BA70" s="2"/>
    </row>
    <row r="71" ht="20" customHeight="1" spans="1:53" x14ac:dyDescent="0.25">
      <c r="A71" s="2" t="s">
        <v>596</v>
      </c>
      <c r="B71" s="2" t="s">
        <v>157</v>
      </c>
      <c r="C71" s="2" t="s">
        <v>158</v>
      </c>
      <c r="D71" s="2" t="s">
        <v>159</v>
      </c>
      <c r="E71" s="2" t="s">
        <v>170</v>
      </c>
      <c r="F71" s="2">
        <v>2021</v>
      </c>
      <c r="G71" s="2">
        <v>2021</v>
      </c>
      <c r="H71" s="2" t="s">
        <v>58</v>
      </c>
      <c r="I71" s="2" t="s">
        <v>97</v>
      </c>
      <c r="J71" s="2" t="s">
        <v>172</v>
      </c>
      <c r="K71" s="2" t="s">
        <v>98</v>
      </c>
      <c r="L71" s="2">
        <v>2</v>
      </c>
      <c r="M71" s="3">
        <v>1015000</v>
      </c>
      <c r="N71" s="3">
        <v>1670000</v>
      </c>
      <c r="O71" s="2" t="s">
        <v>62</v>
      </c>
      <c r="P71" s="3">
        <v>1015000</v>
      </c>
      <c r="Q71" s="3">
        <v>255000</v>
      </c>
      <c r="R71" s="3">
        <f>IF(V71="No",0,MAX(0,M71-Q71))</f>
        <v>760000</v>
      </c>
      <c r="S71" s="4">
        <v>11</v>
      </c>
      <c r="T71" s="2">
        <v>36</v>
      </c>
      <c r="U71" s="3">
        <f>IF(OR(R71&lt;=0,S71&lt;0,T71&lt;=0),"",IF(S71=0,R71/T71,-PMT(S71/1200,T71,R71)))</f>
        <v>24881</v>
      </c>
      <c r="V71" s="2" t="s">
        <v>63</v>
      </c>
      <c r="W71" s="5">
        <v>1493</v>
      </c>
      <c r="X71" s="2">
        <v>114</v>
      </c>
      <c r="Y71" s="4">
        <v>19.1</v>
      </c>
      <c r="Z71" s="5"/>
      <c r="AA71" s="6"/>
      <c r="AB71" s="2">
        <v>5</v>
      </c>
      <c r="AC71" s="2">
        <v>5</v>
      </c>
      <c r="AD71" s="2">
        <v>433</v>
      </c>
      <c r="AE71" s="2"/>
      <c r="AF71" s="2">
        <v>6</v>
      </c>
      <c r="AG71" s="2" t="s">
        <v>63</v>
      </c>
      <c r="AH71" s="2" t="s">
        <v>63</v>
      </c>
      <c r="AI71" s="2" t="s">
        <v>63</v>
      </c>
      <c r="AJ71" s="2" t="s">
        <v>83</v>
      </c>
      <c r="AK71" s="2" t="s">
        <v>101</v>
      </c>
      <c r="AL71" s="5">
        <v>57000</v>
      </c>
      <c r="AM71" s="2" t="s">
        <v>238</v>
      </c>
      <c r="AN71" s="2" t="s">
        <v>185</v>
      </c>
      <c r="AO71" s="2" t="s">
        <v>186</v>
      </c>
      <c r="AP71" s="2" t="s">
        <v>69</v>
      </c>
      <c r="AQ71" s="2" t="s">
        <v>117</v>
      </c>
      <c r="AR71" s="2" t="s">
        <v>71</v>
      </c>
      <c r="AS71" s="2" t="s">
        <v>63</v>
      </c>
      <c r="AT71" s="2" t="s">
        <v>62</v>
      </c>
      <c r="AU71" s="2" t="s">
        <v>62</v>
      </c>
      <c r="AV71" s="2" t="s">
        <v>177</v>
      </c>
      <c r="AW71" s="2" t="s">
        <v>597</v>
      </c>
      <c r="AX71" s="2" t="s">
        <v>92</v>
      </c>
      <c r="AY71" s="3">
        <v>12600</v>
      </c>
      <c r="AZ71" s="2" t="s">
        <v>76</v>
      </c>
      <c r="BA71" s="2"/>
    </row>
    <row r="72" ht="20" customHeight="1" spans="1:53" x14ac:dyDescent="0.25">
      <c r="A72" s="2" t="s">
        <v>598</v>
      </c>
      <c r="B72" s="2" t="s">
        <v>157</v>
      </c>
      <c r="C72" s="2" t="s">
        <v>180</v>
      </c>
      <c r="D72" s="2" t="s">
        <v>181</v>
      </c>
      <c r="E72" s="2" t="s">
        <v>182</v>
      </c>
      <c r="F72" s="2">
        <v>2016</v>
      </c>
      <c r="G72" s="2">
        <v>2017</v>
      </c>
      <c r="H72" s="2" t="s">
        <v>58</v>
      </c>
      <c r="I72" s="2" t="s">
        <v>59</v>
      </c>
      <c r="J72" s="2" t="s">
        <v>60</v>
      </c>
      <c r="K72" s="2" t="s">
        <v>137</v>
      </c>
      <c r="L72" s="2">
        <v>2</v>
      </c>
      <c r="M72" s="3">
        <v>310000</v>
      </c>
      <c r="N72" s="3">
        <v>840000</v>
      </c>
      <c r="O72" s="8" t="s">
        <v>63</v>
      </c>
      <c r="P72" s="3">
        <v>295000</v>
      </c>
      <c r="Q72" s="3">
        <v>80000</v>
      </c>
      <c r="R72" s="3">
        <f>IF(V72="No",0,MAX(0,M72-Q72))</f>
        <v>230000</v>
      </c>
      <c r="S72" s="4">
        <v>11.75</v>
      </c>
      <c r="T72" s="2">
        <v>48</v>
      </c>
      <c r="U72" s="3">
        <f>IF(OR(R72&lt;=0,S72&lt;0,T72&lt;=0),"",IF(S72=0,R72/T72,-PMT(S72/1200,T72,R72)))</f>
        <v>6029</v>
      </c>
      <c r="V72" s="2" t="s">
        <v>63</v>
      </c>
      <c r="W72" s="5">
        <v>1197</v>
      </c>
      <c r="X72" s="2">
        <v>87</v>
      </c>
      <c r="Y72" s="4">
        <v>19.65</v>
      </c>
      <c r="Z72" s="5"/>
      <c r="AA72" s="6"/>
      <c r="AB72" s="2">
        <v>5</v>
      </c>
      <c r="AC72" s="2">
        <v>5</v>
      </c>
      <c r="AD72" s="2">
        <v>311</v>
      </c>
      <c r="AE72" s="2" t="s">
        <v>183</v>
      </c>
      <c r="AF72" s="2">
        <v>6</v>
      </c>
      <c r="AG72" s="2" t="s">
        <v>63</v>
      </c>
      <c r="AH72" s="2" t="s">
        <v>63</v>
      </c>
      <c r="AI72" s="2" t="s">
        <v>63</v>
      </c>
      <c r="AJ72" s="2" t="s">
        <v>100</v>
      </c>
      <c r="AK72" s="2" t="s">
        <v>162</v>
      </c>
      <c r="AL72" s="5">
        <v>76600</v>
      </c>
      <c r="AM72" s="2" t="s">
        <v>599</v>
      </c>
      <c r="AN72" s="2" t="s">
        <v>67</v>
      </c>
      <c r="AO72" s="2" t="s">
        <v>68</v>
      </c>
      <c r="AP72" s="2" t="s">
        <v>128</v>
      </c>
      <c r="AQ72" s="2" t="s">
        <v>129</v>
      </c>
      <c r="AR72" s="2" t="s">
        <v>89</v>
      </c>
      <c r="AS72" s="2" t="s">
        <v>62</v>
      </c>
      <c r="AT72" s="2" t="s">
        <v>62</v>
      </c>
      <c r="AU72" s="2" t="s">
        <v>62</v>
      </c>
      <c r="AV72" s="2" t="s">
        <v>188</v>
      </c>
      <c r="AW72" s="2" t="s">
        <v>600</v>
      </c>
      <c r="AX72" s="2" t="s">
        <v>75</v>
      </c>
      <c r="AY72" s="3">
        <v>10400</v>
      </c>
      <c r="AZ72" s="2" t="s">
        <v>76</v>
      </c>
      <c r="BA72" s="2"/>
    </row>
    <row r="73" ht="20" customHeight="1" spans="1:53" x14ac:dyDescent="0.25">
      <c r="A73" s="2" t="s">
        <v>601</v>
      </c>
      <c r="B73" s="2" t="s">
        <v>157</v>
      </c>
      <c r="C73" s="2" t="s">
        <v>191</v>
      </c>
      <c r="D73" s="2" t="s">
        <v>192</v>
      </c>
      <c r="E73" s="2" t="s">
        <v>160</v>
      </c>
      <c r="F73" s="2">
        <v>2023</v>
      </c>
      <c r="G73" s="2">
        <v>2023</v>
      </c>
      <c r="H73" s="2" t="s">
        <v>58</v>
      </c>
      <c r="I73" s="2" t="s">
        <v>149</v>
      </c>
      <c r="J73" s="2" t="s">
        <v>60</v>
      </c>
      <c r="K73" s="2" t="s">
        <v>161</v>
      </c>
      <c r="L73" s="2">
        <v>1</v>
      </c>
      <c r="M73" s="3">
        <v>1195000</v>
      </c>
      <c r="N73" s="3">
        <v>1610000</v>
      </c>
      <c r="O73" s="8" t="s">
        <v>63</v>
      </c>
      <c r="P73" s="3">
        <v>1145000</v>
      </c>
      <c r="Q73" s="3">
        <v>300000</v>
      </c>
      <c r="R73" s="3">
        <f>IF(V73="No",0,MAX(0,M73-Q73))</f>
        <v>895000</v>
      </c>
      <c r="S73" s="4">
        <v>10.7</v>
      </c>
      <c r="T73" s="2">
        <v>60</v>
      </c>
      <c r="U73" s="3">
        <f>IF(OR(R73&lt;=0,S73&lt;0,T73&lt;=0),"",IF(S73=0,R73/T73,-PMT(S73/1200,T73,R73)))</f>
        <v>19326</v>
      </c>
      <c r="V73" s="2" t="s">
        <v>63</v>
      </c>
      <c r="W73" s="5">
        <v>1482</v>
      </c>
      <c r="X73" s="2">
        <v>158</v>
      </c>
      <c r="Y73" s="4">
        <v>20.6</v>
      </c>
      <c r="Z73" s="5"/>
      <c r="AA73" s="6"/>
      <c r="AB73" s="2">
        <v>5</v>
      </c>
      <c r="AC73" s="2">
        <v>4</v>
      </c>
      <c r="AD73" s="2">
        <v>528</v>
      </c>
      <c r="AE73" s="2" t="s">
        <v>150</v>
      </c>
      <c r="AF73" s="2">
        <v>6</v>
      </c>
      <c r="AG73" s="2" t="s">
        <v>63</v>
      </c>
      <c r="AH73" s="2" t="s">
        <v>63</v>
      </c>
      <c r="AI73" s="2" t="s">
        <v>63</v>
      </c>
      <c r="AJ73" s="2" t="s">
        <v>113</v>
      </c>
      <c r="AK73" s="2" t="s">
        <v>101</v>
      </c>
      <c r="AL73" s="5">
        <v>28500</v>
      </c>
      <c r="AM73" s="2" t="s">
        <v>254</v>
      </c>
      <c r="AN73" s="2" t="s">
        <v>86</v>
      </c>
      <c r="AO73" s="2" t="s">
        <v>87</v>
      </c>
      <c r="AP73" s="2" t="s">
        <v>141</v>
      </c>
      <c r="AQ73" s="2" t="s">
        <v>142</v>
      </c>
      <c r="AR73" s="2" t="s">
        <v>89</v>
      </c>
      <c r="AS73" s="2" t="s">
        <v>63</v>
      </c>
      <c r="AT73" s="2" t="s">
        <v>63</v>
      </c>
      <c r="AU73" s="2" t="s">
        <v>62</v>
      </c>
      <c r="AV73" s="2" t="s">
        <v>195</v>
      </c>
      <c r="AW73" s="2" t="s">
        <v>602</v>
      </c>
      <c r="AX73" s="2" t="s">
        <v>197</v>
      </c>
      <c r="AY73" s="3">
        <v>10200</v>
      </c>
      <c r="AZ73" s="2" t="s">
        <v>76</v>
      </c>
      <c r="BA73" s="2"/>
    </row>
    <row r="74" ht="20" customHeight="1" spans="1:53" x14ac:dyDescent="0.25">
      <c r="A74" s="2" t="s">
        <v>603</v>
      </c>
      <c r="B74" s="2" t="s">
        <v>157</v>
      </c>
      <c r="C74" s="2" t="s">
        <v>199</v>
      </c>
      <c r="D74" s="2" t="s">
        <v>200</v>
      </c>
      <c r="E74" s="2" t="s">
        <v>201</v>
      </c>
      <c r="F74" s="2">
        <v>2018</v>
      </c>
      <c r="G74" s="2">
        <v>2018</v>
      </c>
      <c r="H74" s="2" t="s">
        <v>58</v>
      </c>
      <c r="I74" s="2" t="s">
        <v>97</v>
      </c>
      <c r="J74" s="2" t="s">
        <v>60</v>
      </c>
      <c r="K74" s="2" t="s">
        <v>161</v>
      </c>
      <c r="L74" s="2">
        <v>3</v>
      </c>
      <c r="M74" s="3">
        <v>485000</v>
      </c>
      <c r="N74" s="3">
        <v>1080000</v>
      </c>
      <c r="O74" s="2" t="s">
        <v>62</v>
      </c>
      <c r="P74" s="3">
        <v>485000</v>
      </c>
      <c r="Q74" s="3">
        <v>120000</v>
      </c>
      <c r="R74" s="3">
        <f>IF(V74="No",0,MAX(0,M74-Q74))</f>
        <v>365000</v>
      </c>
      <c r="S74" s="4">
        <v>11.45</v>
      </c>
      <c r="T74" s="2">
        <v>36</v>
      </c>
      <c r="U74" s="3">
        <f>IF(OR(R74&lt;=0,S74&lt;0,T74&lt;=0),"",IF(S74=0,R74/T74,-PMT(S74/1200,T74,R74)))</f>
        <v>12028</v>
      </c>
      <c r="V74" s="2" t="s">
        <v>63</v>
      </c>
      <c r="W74" s="5">
        <v>998</v>
      </c>
      <c r="X74" s="2">
        <v>118</v>
      </c>
      <c r="Y74" s="4">
        <v>18.31</v>
      </c>
      <c r="Z74" s="5"/>
      <c r="AA74" s="6"/>
      <c r="AB74" s="2">
        <v>5</v>
      </c>
      <c r="AC74" s="2">
        <v>5</v>
      </c>
      <c r="AD74" s="2">
        <v>350</v>
      </c>
      <c r="AE74" s="2"/>
      <c r="AF74" s="2">
        <v>6</v>
      </c>
      <c r="AG74" s="2" t="s">
        <v>63</v>
      </c>
      <c r="AH74" s="2" t="s">
        <v>63</v>
      </c>
      <c r="AI74" s="2" t="s">
        <v>63</v>
      </c>
      <c r="AJ74" s="2" t="s">
        <v>64</v>
      </c>
      <c r="AK74" s="2" t="s">
        <v>162</v>
      </c>
      <c r="AL74" s="5">
        <v>68100</v>
      </c>
      <c r="AM74" s="2" t="s">
        <v>604</v>
      </c>
      <c r="AN74" s="2" t="s">
        <v>103</v>
      </c>
      <c r="AO74" s="2" t="s">
        <v>104</v>
      </c>
      <c r="AP74" s="2" t="s">
        <v>69</v>
      </c>
      <c r="AQ74" s="2" t="s">
        <v>153</v>
      </c>
      <c r="AR74" s="2" t="s">
        <v>71</v>
      </c>
      <c r="AS74" s="2" t="s">
        <v>63</v>
      </c>
      <c r="AT74" s="2" t="s">
        <v>62</v>
      </c>
      <c r="AU74" s="2" t="s">
        <v>62</v>
      </c>
      <c r="AV74" s="2" t="s">
        <v>204</v>
      </c>
      <c r="AW74" s="2" t="s">
        <v>605</v>
      </c>
      <c r="AX74" s="2" t="s">
        <v>75</v>
      </c>
      <c r="AY74" s="3">
        <v>10600</v>
      </c>
      <c r="AZ74" s="2" t="s">
        <v>76</v>
      </c>
      <c r="BA74" s="2"/>
    </row>
    <row r="75" ht="20" customHeight="1" spans="1:53" x14ac:dyDescent="0.25">
      <c r="A75" s="9" t="s">
        <v>606</v>
      </c>
      <c r="B75" s="9" t="s">
        <v>157</v>
      </c>
      <c r="C75" s="9" t="s">
        <v>207</v>
      </c>
      <c r="D75" s="9" t="s">
        <v>208</v>
      </c>
      <c r="E75" s="9" t="s">
        <v>209</v>
      </c>
      <c r="F75" s="9">
        <v>2024</v>
      </c>
      <c r="G75" s="9">
        <v>2024</v>
      </c>
      <c r="H75" s="9" t="s">
        <v>58</v>
      </c>
      <c r="I75" s="9" t="s">
        <v>97</v>
      </c>
      <c r="J75" s="9" t="s">
        <v>210</v>
      </c>
      <c r="K75" s="9" t="s">
        <v>98</v>
      </c>
      <c r="L75" s="9">
        <v>1</v>
      </c>
      <c r="M75" s="10">
        <v>3585000</v>
      </c>
      <c r="N75" s="10">
        <v>4375000</v>
      </c>
      <c r="O75" s="8" t="s">
        <v>63</v>
      </c>
      <c r="P75" s="10">
        <v>3405000</v>
      </c>
      <c r="Q75" s="10">
        <v>895000</v>
      </c>
      <c r="R75" s="10">
        <f>IF(V75="No",0,MAX(0,M75-Q75))</f>
        <v>2690000</v>
      </c>
      <c r="S75" s="11">
        <v>10.55</v>
      </c>
      <c r="T75" s="9">
        <v>48</v>
      </c>
      <c r="U75" s="10">
        <f>IF(OR(R75&lt;=0,S75&lt;0,T75&lt;=0),"",IF(S75=0,R75/T75,-PMT(S75/1200,T75,R75)))</f>
        <v>68938</v>
      </c>
      <c r="V75" s="9" t="s">
        <v>63</v>
      </c>
      <c r="W75" s="12"/>
      <c r="X75" s="9">
        <v>215</v>
      </c>
      <c r="Y75" s="11"/>
      <c r="Z75" s="12">
        <v>631</v>
      </c>
      <c r="AA75" s="13">
        <v>72.6</v>
      </c>
      <c r="AB75" s="9">
        <v>5</v>
      </c>
      <c r="AC75" s="9">
        <v>5</v>
      </c>
      <c r="AD75" s="9">
        <v>527</v>
      </c>
      <c r="AE75" s="9" t="s">
        <v>211</v>
      </c>
      <c r="AF75" s="9">
        <v>6</v>
      </c>
      <c r="AG75" s="9" t="s">
        <v>63</v>
      </c>
      <c r="AH75" s="9" t="s">
        <v>63</v>
      </c>
      <c r="AI75" s="9" t="s">
        <v>63</v>
      </c>
      <c r="AJ75" s="9" t="s">
        <v>83</v>
      </c>
      <c r="AK75" s="9" t="s">
        <v>84</v>
      </c>
      <c r="AL75" s="12">
        <v>23800</v>
      </c>
      <c r="AM75" s="9" t="s">
        <v>270</v>
      </c>
      <c r="AN75" s="9" t="s">
        <v>115</v>
      </c>
      <c r="AO75" s="9" t="s">
        <v>116</v>
      </c>
      <c r="AP75" s="9" t="s">
        <v>69</v>
      </c>
      <c r="AQ75" s="9" t="s">
        <v>166</v>
      </c>
      <c r="AR75" s="9" t="s">
        <v>89</v>
      </c>
      <c r="AS75" s="9" t="s">
        <v>63</v>
      </c>
      <c r="AT75" s="9" t="s">
        <v>63</v>
      </c>
      <c r="AU75" s="9" t="s">
        <v>62</v>
      </c>
      <c r="AV75" s="9" t="s">
        <v>214</v>
      </c>
      <c r="AW75" s="9" t="s">
        <v>607</v>
      </c>
      <c r="AX75" s="9" t="s">
        <v>197</v>
      </c>
      <c r="AY75" s="10">
        <v>6700</v>
      </c>
      <c r="AZ75" s="9" t="s">
        <v>76</v>
      </c>
      <c r="BA75" s="9"/>
    </row>
    <row r="76" ht="20" customHeight="1" spans="1:53" x14ac:dyDescent="0.25">
      <c r="A76" s="2" t="s">
        <v>608</v>
      </c>
      <c r="B76" s="2" t="s">
        <v>157</v>
      </c>
      <c r="C76" s="2" t="s">
        <v>217</v>
      </c>
      <c r="D76" s="2" t="s">
        <v>218</v>
      </c>
      <c r="E76" s="2" t="s">
        <v>219</v>
      </c>
      <c r="F76" s="2">
        <v>2020</v>
      </c>
      <c r="G76" s="2">
        <v>2020</v>
      </c>
      <c r="H76" s="2" t="s">
        <v>58</v>
      </c>
      <c r="I76" s="2" t="s">
        <v>59</v>
      </c>
      <c r="J76" s="2" t="s">
        <v>112</v>
      </c>
      <c r="K76" s="2" t="s">
        <v>61</v>
      </c>
      <c r="L76" s="2">
        <v>1</v>
      </c>
      <c r="M76" s="3">
        <v>350000</v>
      </c>
      <c r="N76" s="3">
        <v>705000</v>
      </c>
      <c r="O76" s="8" t="s">
        <v>63</v>
      </c>
      <c r="P76" s="3">
        <v>335000</v>
      </c>
      <c r="Q76" s="3">
        <v>90000</v>
      </c>
      <c r="R76" s="3">
        <f>IF(V76="No",0,MAX(0,M76-Q76))</f>
        <v>260000</v>
      </c>
      <c r="S76" s="4">
        <v>11.15</v>
      </c>
      <c r="T76" s="2">
        <v>60</v>
      </c>
      <c r="U76" s="3">
        <f>IF(OR(R76&lt;=0,S76&lt;0,T76&lt;=0),"",IF(S76=0,R76/T76,-PMT(S76/1200,T76,R76)))</f>
        <v>5672</v>
      </c>
      <c r="V76" s="2" t="s">
        <v>63</v>
      </c>
      <c r="W76" s="5">
        <v>1197</v>
      </c>
      <c r="X76" s="2">
        <v>68</v>
      </c>
      <c r="Y76" s="4">
        <v>27.3</v>
      </c>
      <c r="Z76" s="5"/>
      <c r="AA76" s="6"/>
      <c r="AB76" s="2">
        <v>5</v>
      </c>
      <c r="AC76" s="2">
        <v>5</v>
      </c>
      <c r="AD76" s="2">
        <v>240</v>
      </c>
      <c r="AE76" s="2"/>
      <c r="AF76" s="2">
        <v>6</v>
      </c>
      <c r="AG76" s="2" t="s">
        <v>63</v>
      </c>
      <c r="AH76" s="2" t="s">
        <v>63</v>
      </c>
      <c r="AI76" s="2" t="s">
        <v>63</v>
      </c>
      <c r="AJ76" s="2" t="s">
        <v>100</v>
      </c>
      <c r="AK76" s="2" t="s">
        <v>162</v>
      </c>
      <c r="AL76" s="7">
        <v>88900</v>
      </c>
      <c r="AM76" s="2" t="s">
        <v>609</v>
      </c>
      <c r="AN76" s="2" t="s">
        <v>127</v>
      </c>
      <c r="AO76" s="2" t="s">
        <v>127</v>
      </c>
      <c r="AP76" s="2" t="s">
        <v>69</v>
      </c>
      <c r="AQ76" s="2" t="s">
        <v>176</v>
      </c>
      <c r="AR76" s="2" t="s">
        <v>89</v>
      </c>
      <c r="AS76" s="2" t="s">
        <v>63</v>
      </c>
      <c r="AT76" s="2" t="s">
        <v>62</v>
      </c>
      <c r="AU76" s="2" t="s">
        <v>62</v>
      </c>
      <c r="AV76" s="2" t="s">
        <v>222</v>
      </c>
      <c r="AW76" s="2" t="s">
        <v>610</v>
      </c>
      <c r="AX76" s="2" t="s">
        <v>120</v>
      </c>
      <c r="AY76" s="3">
        <v>7700</v>
      </c>
      <c r="AZ76" s="2" t="s">
        <v>76</v>
      </c>
      <c r="BA76" s="2"/>
    </row>
    <row r="77" ht="20" customHeight="1" spans="1:53" x14ac:dyDescent="0.25">
      <c r="A77" s="2" t="s">
        <v>611</v>
      </c>
      <c r="B77" s="2" t="s">
        <v>225</v>
      </c>
      <c r="C77" s="2" t="s">
        <v>226</v>
      </c>
      <c r="D77" s="2" t="s">
        <v>227</v>
      </c>
      <c r="E77" s="2" t="s">
        <v>228</v>
      </c>
      <c r="F77" s="2">
        <v>2015</v>
      </c>
      <c r="G77" s="2">
        <v>2016</v>
      </c>
      <c r="H77" s="2" t="s">
        <v>58</v>
      </c>
      <c r="I77" s="2" t="s">
        <v>97</v>
      </c>
      <c r="J77" s="2" t="s">
        <v>60</v>
      </c>
      <c r="K77" s="2" t="s">
        <v>161</v>
      </c>
      <c r="L77" s="2">
        <v>2</v>
      </c>
      <c r="M77" s="3">
        <v>325000</v>
      </c>
      <c r="N77" s="3">
        <v>1075000</v>
      </c>
      <c r="O77" s="2" t="s">
        <v>62</v>
      </c>
      <c r="P77" s="3">
        <v>325000</v>
      </c>
      <c r="Q77" s="3">
        <v>80000</v>
      </c>
      <c r="R77" s="3">
        <f>IF(V77="No",0,MAX(0,M77-Q77))</f>
        <v>0</v>
      </c>
      <c r="S77" s="4">
        <v>0</v>
      </c>
      <c r="T77" s="2">
        <v>0</v>
      </c>
      <c r="U77" s="3" t="str">
        <f>IF(OR(R77&lt;=0,S77&lt;0,T77&lt;=0),"",IF(S77=0,R77/T77,-PMT(S77/1200,T77,R77)))</f>
        <v/>
      </c>
      <c r="V77" s="2" t="s">
        <v>62</v>
      </c>
      <c r="W77" s="5">
        <v>1199</v>
      </c>
      <c r="X77" s="2">
        <v>118</v>
      </c>
      <c r="Y77" s="4">
        <v>17.01</v>
      </c>
      <c r="Z77" s="5"/>
      <c r="AA77" s="6"/>
      <c r="AB77" s="2">
        <v>5</v>
      </c>
      <c r="AC77" s="2">
        <v>5</v>
      </c>
      <c r="AD77" s="2">
        <v>382</v>
      </c>
      <c r="AE77" s="2" t="s">
        <v>229</v>
      </c>
      <c r="AF77" s="2">
        <v>6</v>
      </c>
      <c r="AG77" s="2" t="s">
        <v>63</v>
      </c>
      <c r="AH77" s="2" t="s">
        <v>63</v>
      </c>
      <c r="AI77" s="2" t="s">
        <v>63</v>
      </c>
      <c r="AJ77" s="2" t="s">
        <v>113</v>
      </c>
      <c r="AK77" s="2" t="s">
        <v>65</v>
      </c>
      <c r="AL77" s="7">
        <v>120500</v>
      </c>
      <c r="AM77" s="2" t="s">
        <v>288</v>
      </c>
      <c r="AN77" s="2" t="s">
        <v>115</v>
      </c>
      <c r="AO77" s="2" t="s">
        <v>140</v>
      </c>
      <c r="AP77" s="2" t="s">
        <v>69</v>
      </c>
      <c r="AQ77" s="2" t="s">
        <v>187</v>
      </c>
      <c r="AR77" s="2" t="s">
        <v>71</v>
      </c>
      <c r="AS77" s="2" t="s">
        <v>63</v>
      </c>
      <c r="AT77" s="2" t="s">
        <v>62</v>
      </c>
      <c r="AU77" s="2" t="s">
        <v>72</v>
      </c>
      <c r="AV77" s="2" t="s">
        <v>232</v>
      </c>
      <c r="AW77" s="2" t="s">
        <v>612</v>
      </c>
      <c r="AX77" s="2" t="s">
        <v>92</v>
      </c>
      <c r="AY77" s="3">
        <v>12200</v>
      </c>
      <c r="AZ77" s="2" t="s">
        <v>76</v>
      </c>
      <c r="BA77" s="2"/>
    </row>
    <row r="78" ht="20" customHeight="1" spans="1:53" x14ac:dyDescent="0.25">
      <c r="A78" s="9" t="s">
        <v>613</v>
      </c>
      <c r="B78" s="9" t="s">
        <v>225</v>
      </c>
      <c r="C78" s="9" t="s">
        <v>235</v>
      </c>
      <c r="D78" s="9" t="s">
        <v>236</v>
      </c>
      <c r="E78" s="9" t="s">
        <v>237</v>
      </c>
      <c r="F78" s="9">
        <v>2025</v>
      </c>
      <c r="G78" s="9">
        <v>2025</v>
      </c>
      <c r="H78" s="9" t="s">
        <v>58</v>
      </c>
      <c r="I78" s="9" t="s">
        <v>97</v>
      </c>
      <c r="J78" s="9" t="s">
        <v>210</v>
      </c>
      <c r="K78" s="9" t="s">
        <v>98</v>
      </c>
      <c r="L78" s="9">
        <v>1</v>
      </c>
      <c r="M78" s="10">
        <v>1500000</v>
      </c>
      <c r="N78" s="10">
        <v>1655000</v>
      </c>
      <c r="O78" s="8" t="s">
        <v>63</v>
      </c>
      <c r="P78" s="10">
        <v>1425000</v>
      </c>
      <c r="Q78" s="10">
        <v>375000</v>
      </c>
      <c r="R78" s="10">
        <f>IF(V78="No",0,MAX(0,M78-Q78))</f>
        <v>1125000</v>
      </c>
      <c r="S78" s="11">
        <v>10.4</v>
      </c>
      <c r="T78" s="9">
        <v>48</v>
      </c>
      <c r="U78" s="10">
        <f>IF(OR(R78&lt;=0,S78&lt;0,T78&lt;=0),"",IF(S78=0,R78/T78,-PMT(S78/1200,T78,R78)))</f>
        <v>28750</v>
      </c>
      <c r="V78" s="9" t="s">
        <v>63</v>
      </c>
      <c r="W78" s="12"/>
      <c r="X78" s="9">
        <v>142</v>
      </c>
      <c r="Y78" s="11"/>
      <c r="Z78" s="12">
        <v>489</v>
      </c>
      <c r="AA78" s="13">
        <v>45</v>
      </c>
      <c r="AB78" s="9">
        <v>5</v>
      </c>
      <c r="AC78" s="9">
        <v>5</v>
      </c>
      <c r="AD78" s="9">
        <v>350</v>
      </c>
      <c r="AE78" s="9" t="s">
        <v>138</v>
      </c>
      <c r="AF78" s="9">
        <v>6</v>
      </c>
      <c r="AG78" s="9" t="s">
        <v>63</v>
      </c>
      <c r="AH78" s="9" t="s">
        <v>63</v>
      </c>
      <c r="AI78" s="9" t="s">
        <v>63</v>
      </c>
      <c r="AJ78" s="9" t="s">
        <v>64</v>
      </c>
      <c r="AK78" s="9" t="s">
        <v>84</v>
      </c>
      <c r="AL78" s="12">
        <v>10400</v>
      </c>
      <c r="AM78" s="9" t="s">
        <v>614</v>
      </c>
      <c r="AN78" s="9" t="s">
        <v>67</v>
      </c>
      <c r="AO78" s="9" t="s">
        <v>152</v>
      </c>
      <c r="AP78" s="9" t="s">
        <v>128</v>
      </c>
      <c r="AQ78" s="9" t="s">
        <v>194</v>
      </c>
      <c r="AR78" s="9" t="s">
        <v>89</v>
      </c>
      <c r="AS78" s="9" t="s">
        <v>63</v>
      </c>
      <c r="AT78" s="9" t="s">
        <v>63</v>
      </c>
      <c r="AU78" s="9" t="s">
        <v>62</v>
      </c>
      <c r="AV78" s="9" t="s">
        <v>240</v>
      </c>
      <c r="AW78" s="9" t="s">
        <v>615</v>
      </c>
      <c r="AX78" s="9" t="s">
        <v>75</v>
      </c>
      <c r="AY78" s="10">
        <v>5000</v>
      </c>
      <c r="AZ78" s="9" t="s">
        <v>76</v>
      </c>
      <c r="BA78" s="9"/>
    </row>
    <row r="79" ht="20" customHeight="1" spans="1:53" x14ac:dyDescent="0.25">
      <c r="A79" s="2" t="s">
        <v>616</v>
      </c>
      <c r="B79" s="2" t="s">
        <v>225</v>
      </c>
      <c r="C79" s="2" t="s">
        <v>243</v>
      </c>
      <c r="D79" s="2" t="s">
        <v>244</v>
      </c>
      <c r="E79" s="2" t="s">
        <v>245</v>
      </c>
      <c r="F79" s="2">
        <v>2017</v>
      </c>
      <c r="G79" s="2">
        <v>2017</v>
      </c>
      <c r="H79" s="2" t="s">
        <v>58</v>
      </c>
      <c r="I79" s="2" t="s">
        <v>97</v>
      </c>
      <c r="J79" s="2" t="s">
        <v>112</v>
      </c>
      <c r="K79" s="2" t="s">
        <v>61</v>
      </c>
      <c r="L79" s="2">
        <v>2</v>
      </c>
      <c r="M79" s="3">
        <v>285000</v>
      </c>
      <c r="N79" s="3">
        <v>765000</v>
      </c>
      <c r="O79" s="8" t="s">
        <v>63</v>
      </c>
      <c r="P79" s="3">
        <v>275000</v>
      </c>
      <c r="Q79" s="3">
        <v>70000</v>
      </c>
      <c r="R79" s="3">
        <f>IF(V79="No",0,MAX(0,M79-Q79))</f>
        <v>215000</v>
      </c>
      <c r="S79" s="4">
        <v>11.6</v>
      </c>
      <c r="T79" s="2">
        <v>60</v>
      </c>
      <c r="U79" s="3">
        <f>IF(OR(R79&lt;=0,S79&lt;0,T79&lt;=0),"",IF(S79=0,R79/T79,-PMT(S79/1200,T79,R79)))</f>
        <v>4739</v>
      </c>
      <c r="V79" s="2" t="s">
        <v>63</v>
      </c>
      <c r="W79" s="5">
        <v>1199</v>
      </c>
      <c r="X79" s="2">
        <v>72</v>
      </c>
      <c r="Y79" s="4">
        <v>26.99</v>
      </c>
      <c r="Z79" s="5"/>
      <c r="AA79" s="6"/>
      <c r="AB79" s="2">
        <v>5</v>
      </c>
      <c r="AC79" s="2">
        <v>5</v>
      </c>
      <c r="AD79" s="2">
        <v>210</v>
      </c>
      <c r="AE79" s="2" t="s">
        <v>150</v>
      </c>
      <c r="AF79" s="2">
        <v>2</v>
      </c>
      <c r="AG79" s="2" t="s">
        <v>63</v>
      </c>
      <c r="AH79" s="2" t="s">
        <v>63</v>
      </c>
      <c r="AI79" s="2" t="s">
        <v>63</v>
      </c>
      <c r="AJ79" s="2" t="s">
        <v>83</v>
      </c>
      <c r="AK79" s="2" t="s">
        <v>65</v>
      </c>
      <c r="AL79" s="7">
        <v>114100</v>
      </c>
      <c r="AM79" s="2" t="s">
        <v>617</v>
      </c>
      <c r="AN79" s="2" t="s">
        <v>164</v>
      </c>
      <c r="AO79" s="2" t="s">
        <v>165</v>
      </c>
      <c r="AP79" s="2" t="s">
        <v>141</v>
      </c>
      <c r="AQ79" s="2" t="s">
        <v>203</v>
      </c>
      <c r="AR79" s="2" t="s">
        <v>89</v>
      </c>
      <c r="AS79" s="2" t="s">
        <v>62</v>
      </c>
      <c r="AT79" s="2" t="s">
        <v>62</v>
      </c>
      <c r="AU79" s="2" t="s">
        <v>62</v>
      </c>
      <c r="AV79" s="2" t="s">
        <v>248</v>
      </c>
      <c r="AW79" s="2" t="s">
        <v>618</v>
      </c>
      <c r="AX79" s="2" t="s">
        <v>120</v>
      </c>
      <c r="AY79" s="3">
        <v>8700</v>
      </c>
      <c r="AZ79" s="2" t="s">
        <v>76</v>
      </c>
      <c r="BA79" s="2"/>
    </row>
    <row r="80" ht="20" customHeight="1" spans="1:53" x14ac:dyDescent="0.25">
      <c r="A80" s="9" t="s">
        <v>619</v>
      </c>
      <c r="B80" s="9" t="s">
        <v>225</v>
      </c>
      <c r="C80" s="9" t="s">
        <v>251</v>
      </c>
      <c r="D80" s="9" t="s">
        <v>252</v>
      </c>
      <c r="E80" s="9" t="s">
        <v>253</v>
      </c>
      <c r="F80" s="9">
        <v>2025</v>
      </c>
      <c r="G80" s="9">
        <v>2025</v>
      </c>
      <c r="H80" s="9" t="s">
        <v>58</v>
      </c>
      <c r="I80" s="9" t="s">
        <v>97</v>
      </c>
      <c r="J80" s="9" t="s">
        <v>210</v>
      </c>
      <c r="K80" s="9" t="s">
        <v>98</v>
      </c>
      <c r="L80" s="9">
        <v>1</v>
      </c>
      <c r="M80" s="10">
        <v>1280000</v>
      </c>
      <c r="N80" s="10">
        <v>1415000</v>
      </c>
      <c r="O80" s="9" t="s">
        <v>62</v>
      </c>
      <c r="P80" s="10">
        <v>1280000</v>
      </c>
      <c r="Q80" s="10">
        <v>320000</v>
      </c>
      <c r="R80" s="10">
        <f>IF(V80="No",0,MAX(0,M80-Q80))</f>
        <v>960000</v>
      </c>
      <c r="S80" s="11">
        <v>10.4</v>
      </c>
      <c r="T80" s="9">
        <v>36</v>
      </c>
      <c r="U80" s="10">
        <f>IF(OR(R80&lt;=0,S80&lt;0,T80&lt;=0),"",IF(S80=0,R80/T80,-PMT(S80/1200,T80,R80)))</f>
        <v>31157</v>
      </c>
      <c r="V80" s="9" t="s">
        <v>63</v>
      </c>
      <c r="W80" s="12"/>
      <c r="X80" s="9">
        <v>120</v>
      </c>
      <c r="Y80" s="11"/>
      <c r="Z80" s="12">
        <v>421</v>
      </c>
      <c r="AA80" s="13">
        <v>35</v>
      </c>
      <c r="AB80" s="9">
        <v>5</v>
      </c>
      <c r="AC80" s="9">
        <v>5</v>
      </c>
      <c r="AD80" s="9">
        <v>366</v>
      </c>
      <c r="AE80" s="9" t="s">
        <v>138</v>
      </c>
      <c r="AF80" s="9">
        <v>6</v>
      </c>
      <c r="AG80" s="9" t="s">
        <v>63</v>
      </c>
      <c r="AH80" s="9" t="s">
        <v>63</v>
      </c>
      <c r="AI80" s="9" t="s">
        <v>63</v>
      </c>
      <c r="AJ80" s="9" t="s">
        <v>100</v>
      </c>
      <c r="AK80" s="9" t="s">
        <v>84</v>
      </c>
      <c r="AL80" s="12">
        <v>9800</v>
      </c>
      <c r="AM80" s="9" t="s">
        <v>620</v>
      </c>
      <c r="AN80" s="9" t="s">
        <v>174</v>
      </c>
      <c r="AO80" s="9" t="s">
        <v>175</v>
      </c>
      <c r="AP80" s="9" t="s">
        <v>69</v>
      </c>
      <c r="AQ80" s="9" t="s">
        <v>213</v>
      </c>
      <c r="AR80" s="9" t="s">
        <v>71</v>
      </c>
      <c r="AS80" s="9" t="s">
        <v>63</v>
      </c>
      <c r="AT80" s="9" t="s">
        <v>63</v>
      </c>
      <c r="AU80" s="9" t="s">
        <v>62</v>
      </c>
      <c r="AV80" s="9" t="s">
        <v>256</v>
      </c>
      <c r="AW80" s="9" t="s">
        <v>621</v>
      </c>
      <c r="AX80" s="9" t="s">
        <v>75</v>
      </c>
      <c r="AY80" s="10">
        <v>4700</v>
      </c>
      <c r="AZ80" s="9" t="s">
        <v>76</v>
      </c>
      <c r="BA80" s="9"/>
    </row>
    <row r="81" ht="20" customHeight="1" spans="1:53" x14ac:dyDescent="0.25">
      <c r="A81" s="2" t="s">
        <v>622</v>
      </c>
      <c r="B81" s="2" t="s">
        <v>225</v>
      </c>
      <c r="C81" s="2" t="s">
        <v>259</v>
      </c>
      <c r="D81" s="2" t="s">
        <v>260</v>
      </c>
      <c r="E81" s="2" t="s">
        <v>261</v>
      </c>
      <c r="F81" s="2">
        <v>2019</v>
      </c>
      <c r="G81" s="2">
        <v>2019</v>
      </c>
      <c r="H81" s="2" t="s">
        <v>58</v>
      </c>
      <c r="I81" s="2" t="s">
        <v>97</v>
      </c>
      <c r="J81" s="2" t="s">
        <v>172</v>
      </c>
      <c r="K81" s="2" t="s">
        <v>98</v>
      </c>
      <c r="L81" s="2">
        <v>1</v>
      </c>
      <c r="M81" s="3">
        <v>980000</v>
      </c>
      <c r="N81" s="3">
        <v>2165000</v>
      </c>
      <c r="O81" s="8" t="s">
        <v>63</v>
      </c>
      <c r="P81" s="3">
        <v>930000</v>
      </c>
      <c r="Q81" s="3">
        <v>245000</v>
      </c>
      <c r="R81" s="3">
        <f>IF(V81="No",0,MAX(0,M81-Q81))</f>
        <v>735000</v>
      </c>
      <c r="S81" s="4">
        <v>11.3</v>
      </c>
      <c r="T81" s="2">
        <v>48</v>
      </c>
      <c r="U81" s="3">
        <f>IF(OR(R81&lt;=0,S81&lt;0,T81&lt;=0),"",IF(S81=0,R81/T81,-PMT(S81/1200,T81,R81)))</f>
        <v>19104</v>
      </c>
      <c r="V81" s="2" t="s">
        <v>63</v>
      </c>
      <c r="W81" s="5">
        <v>1956</v>
      </c>
      <c r="X81" s="2">
        <v>168</v>
      </c>
      <c r="Y81" s="4">
        <v>16.8</v>
      </c>
      <c r="Z81" s="5"/>
      <c r="AA81" s="6"/>
      <c r="AB81" s="2">
        <v>5</v>
      </c>
      <c r="AC81" s="2">
        <v>5</v>
      </c>
      <c r="AD81" s="2">
        <v>445</v>
      </c>
      <c r="AE81" s="2" t="s">
        <v>229</v>
      </c>
      <c r="AF81" s="2">
        <v>7</v>
      </c>
      <c r="AG81" s="2" t="s">
        <v>63</v>
      </c>
      <c r="AH81" s="2" t="s">
        <v>63</v>
      </c>
      <c r="AI81" s="2" t="s">
        <v>63</v>
      </c>
      <c r="AJ81" s="2" t="s">
        <v>113</v>
      </c>
      <c r="AK81" s="2" t="s">
        <v>162</v>
      </c>
      <c r="AL81" s="7">
        <v>94400</v>
      </c>
      <c r="AM81" s="2" t="s">
        <v>317</v>
      </c>
      <c r="AN81" s="2" t="s">
        <v>185</v>
      </c>
      <c r="AO81" s="2" t="s">
        <v>186</v>
      </c>
      <c r="AP81" s="2" t="s">
        <v>69</v>
      </c>
      <c r="AQ81" s="2" t="s">
        <v>221</v>
      </c>
      <c r="AR81" s="2" t="s">
        <v>89</v>
      </c>
      <c r="AS81" s="2" t="s">
        <v>63</v>
      </c>
      <c r="AT81" s="2" t="s">
        <v>62</v>
      </c>
      <c r="AU81" s="2" t="s">
        <v>62</v>
      </c>
      <c r="AV81" s="2" t="s">
        <v>264</v>
      </c>
      <c r="AW81" s="2" t="s">
        <v>623</v>
      </c>
      <c r="AX81" s="2" t="s">
        <v>92</v>
      </c>
      <c r="AY81" s="3">
        <v>16000</v>
      </c>
      <c r="AZ81" s="2" t="s">
        <v>76</v>
      </c>
      <c r="BA81" s="2"/>
    </row>
    <row r="82" ht="20" customHeight="1" spans="1:53" x14ac:dyDescent="0.25">
      <c r="A82" s="2" t="s">
        <v>624</v>
      </c>
      <c r="B82" s="2" t="s">
        <v>225</v>
      </c>
      <c r="C82" s="2" t="s">
        <v>267</v>
      </c>
      <c r="D82" s="2" t="s">
        <v>268</v>
      </c>
      <c r="E82" s="2" t="s">
        <v>269</v>
      </c>
      <c r="F82" s="2">
        <v>2026</v>
      </c>
      <c r="G82" s="2">
        <v>2026</v>
      </c>
      <c r="H82" s="2" t="s">
        <v>171</v>
      </c>
      <c r="I82" s="2" t="s">
        <v>97</v>
      </c>
      <c r="J82" s="2" t="s">
        <v>172</v>
      </c>
      <c r="K82" s="2" t="s">
        <v>98</v>
      </c>
      <c r="L82" s="2">
        <v>0</v>
      </c>
      <c r="M82" s="3">
        <v>2734000</v>
      </c>
      <c r="N82" s="3">
        <v>2735000</v>
      </c>
      <c r="O82" s="8" t="s">
        <v>63</v>
      </c>
      <c r="P82" s="3">
        <v>2625000</v>
      </c>
      <c r="Q82" s="3">
        <v>545000</v>
      </c>
      <c r="R82" s="3">
        <f>IF(V82="No",0,MAX(0,M82-Q82))</f>
        <v>2189000</v>
      </c>
      <c r="S82" s="4">
        <v>8.95</v>
      </c>
      <c r="T82" s="2">
        <v>84</v>
      </c>
      <c r="U82" s="3">
        <f>IF(OR(R82&lt;=0,S82&lt;0,T82&lt;=0),"",IF(S82=0,R82/T82,-PMT(S82/1200,T82,R82)))</f>
        <v>35163</v>
      </c>
      <c r="V82" s="2" t="s">
        <v>63</v>
      </c>
      <c r="W82" s="5">
        <v>1956</v>
      </c>
      <c r="X82" s="2">
        <v>168</v>
      </c>
      <c r="Y82" s="4">
        <v>16.3</v>
      </c>
      <c r="Z82" s="5"/>
      <c r="AA82" s="6"/>
      <c r="AB82" s="2">
        <v>6</v>
      </c>
      <c r="AC82" s="2">
        <v>5</v>
      </c>
      <c r="AD82" s="2">
        <v>420</v>
      </c>
      <c r="AE82" s="2" t="s">
        <v>229</v>
      </c>
      <c r="AF82" s="2">
        <v>7</v>
      </c>
      <c r="AG82" s="2" t="s">
        <v>63</v>
      </c>
      <c r="AH82" s="2" t="s">
        <v>63</v>
      </c>
      <c r="AI82" s="2" t="s">
        <v>63</v>
      </c>
      <c r="AJ82" s="2" t="s">
        <v>64</v>
      </c>
      <c r="AK82" s="2" t="s">
        <v>171</v>
      </c>
      <c r="AL82" s="5">
        <v>50</v>
      </c>
      <c r="AM82" s="2" t="s">
        <v>625</v>
      </c>
      <c r="AN82" s="2" t="s">
        <v>67</v>
      </c>
      <c r="AO82" s="2" t="s">
        <v>68</v>
      </c>
      <c r="AP82" s="2" t="s">
        <v>69</v>
      </c>
      <c r="AQ82" s="2" t="s">
        <v>231</v>
      </c>
      <c r="AR82" s="2" t="s">
        <v>89</v>
      </c>
      <c r="AS82" s="2" t="s">
        <v>63</v>
      </c>
      <c r="AT82" s="2" t="s">
        <v>63</v>
      </c>
      <c r="AU82" s="2" t="s">
        <v>62</v>
      </c>
      <c r="AV82" s="2" t="s">
        <v>272</v>
      </c>
      <c r="AW82" s="2" t="s">
        <v>626</v>
      </c>
      <c r="AX82" s="2" t="s">
        <v>92</v>
      </c>
      <c r="AY82" s="3">
        <v>13200</v>
      </c>
      <c r="AZ82" s="2" t="s">
        <v>76</v>
      </c>
      <c r="BA82" s="2"/>
    </row>
    <row r="83" ht="20" customHeight="1" spans="1:53" x14ac:dyDescent="0.25">
      <c r="A83" s="9" t="s">
        <v>627</v>
      </c>
      <c r="B83" s="9" t="s">
        <v>225</v>
      </c>
      <c r="C83" s="9" t="s">
        <v>275</v>
      </c>
      <c r="D83" s="9" t="s">
        <v>276</v>
      </c>
      <c r="E83" s="9" t="s">
        <v>277</v>
      </c>
      <c r="F83" s="9">
        <v>2024</v>
      </c>
      <c r="G83" s="9">
        <v>2024</v>
      </c>
      <c r="H83" s="9" t="s">
        <v>58</v>
      </c>
      <c r="I83" s="9" t="s">
        <v>278</v>
      </c>
      <c r="J83" s="9" t="s">
        <v>210</v>
      </c>
      <c r="K83" s="9" t="s">
        <v>98</v>
      </c>
      <c r="L83" s="9">
        <v>1</v>
      </c>
      <c r="M83" s="10">
        <v>1710000</v>
      </c>
      <c r="N83" s="10">
        <v>2090000</v>
      </c>
      <c r="O83" s="9" t="s">
        <v>62</v>
      </c>
      <c r="P83" s="10">
        <v>1710000</v>
      </c>
      <c r="Q83" s="10">
        <v>430000</v>
      </c>
      <c r="R83" s="10">
        <f>IF(V83="No",0,MAX(0,M83-Q83))</f>
        <v>1280000</v>
      </c>
      <c r="S83" s="11">
        <v>10.55</v>
      </c>
      <c r="T83" s="9">
        <v>36</v>
      </c>
      <c r="U83" s="10">
        <f>IF(OR(R83&lt;=0,S83&lt;0,T83&lt;=0),"",IF(S83=0,R83/T83,-PMT(S83/1200,T83,R83)))</f>
        <v>41633</v>
      </c>
      <c r="V83" s="9" t="s">
        <v>63</v>
      </c>
      <c r="W83" s="12"/>
      <c r="X83" s="9">
        <v>165</v>
      </c>
      <c r="Y83" s="11"/>
      <c r="Z83" s="12">
        <v>585</v>
      </c>
      <c r="AA83" s="13">
        <v>55</v>
      </c>
      <c r="AB83" s="9">
        <v>5</v>
      </c>
      <c r="AC83" s="9">
        <v>5</v>
      </c>
      <c r="AD83" s="9">
        <v>500</v>
      </c>
      <c r="AE83" s="9" t="s">
        <v>138</v>
      </c>
      <c r="AF83" s="9">
        <v>6</v>
      </c>
      <c r="AG83" s="9" t="s">
        <v>63</v>
      </c>
      <c r="AH83" s="9" t="s">
        <v>63</v>
      </c>
      <c r="AI83" s="9" t="s">
        <v>63</v>
      </c>
      <c r="AJ83" s="9" t="s">
        <v>83</v>
      </c>
      <c r="AK83" s="9" t="s">
        <v>84</v>
      </c>
      <c r="AL83" s="12">
        <v>23600</v>
      </c>
      <c r="AM83" s="9" t="s">
        <v>332</v>
      </c>
      <c r="AN83" s="9" t="s">
        <v>86</v>
      </c>
      <c r="AO83" s="9" t="s">
        <v>87</v>
      </c>
      <c r="AP83" s="9" t="s">
        <v>69</v>
      </c>
      <c r="AQ83" s="9" t="s">
        <v>239</v>
      </c>
      <c r="AR83" s="9" t="s">
        <v>71</v>
      </c>
      <c r="AS83" s="9" t="s">
        <v>63</v>
      </c>
      <c r="AT83" s="9" t="s">
        <v>63</v>
      </c>
      <c r="AU83" s="9" t="s">
        <v>62</v>
      </c>
      <c r="AV83" s="9" t="s">
        <v>281</v>
      </c>
      <c r="AW83" s="9" t="s">
        <v>628</v>
      </c>
      <c r="AX83" s="9" t="s">
        <v>197</v>
      </c>
      <c r="AY83" s="10">
        <v>5600</v>
      </c>
      <c r="AZ83" s="9" t="s">
        <v>76</v>
      </c>
      <c r="BA83" s="9"/>
    </row>
    <row r="84" ht="20" customHeight="1" spans="1:53" x14ac:dyDescent="0.25">
      <c r="A84" s="2" t="s">
        <v>629</v>
      </c>
      <c r="B84" s="2" t="s">
        <v>284</v>
      </c>
      <c r="C84" s="2" t="s">
        <v>285</v>
      </c>
      <c r="D84" s="2" t="s">
        <v>286</v>
      </c>
      <c r="E84" s="2" t="s">
        <v>287</v>
      </c>
      <c r="F84" s="2">
        <v>2016</v>
      </c>
      <c r="G84" s="2">
        <v>2016</v>
      </c>
      <c r="H84" s="2" t="s">
        <v>58</v>
      </c>
      <c r="I84" s="2" t="s">
        <v>97</v>
      </c>
      <c r="J84" s="2" t="s">
        <v>172</v>
      </c>
      <c r="K84" s="2" t="s">
        <v>98</v>
      </c>
      <c r="L84" s="2">
        <v>2</v>
      </c>
      <c r="M84" s="3">
        <v>640000</v>
      </c>
      <c r="N84" s="3">
        <v>1910000</v>
      </c>
      <c r="O84" s="8" t="s">
        <v>63</v>
      </c>
      <c r="P84" s="3">
        <v>610000</v>
      </c>
      <c r="Q84" s="3">
        <v>160000</v>
      </c>
      <c r="R84" s="3">
        <f>IF(V84="No",0,MAX(0,M84-Q84))</f>
        <v>480000</v>
      </c>
      <c r="S84" s="4">
        <v>11.75</v>
      </c>
      <c r="T84" s="2">
        <v>48</v>
      </c>
      <c r="U84" s="3">
        <f>IF(OR(R84&lt;=0,S84&lt;0,T84&lt;=0),"",IF(S84=0,R84/T84,-PMT(S84/1200,T84,R84)))</f>
        <v>12581</v>
      </c>
      <c r="V84" s="2" t="s">
        <v>63</v>
      </c>
      <c r="W84" s="5">
        <v>2198</v>
      </c>
      <c r="X84" s="2">
        <v>182</v>
      </c>
      <c r="Y84" s="4">
        <v>15.5</v>
      </c>
      <c r="Z84" s="5"/>
      <c r="AA84" s="6"/>
      <c r="AB84" s="2">
        <v>7</v>
      </c>
      <c r="AC84" s="2">
        <v>5</v>
      </c>
      <c r="AD84" s="2">
        <v>240</v>
      </c>
      <c r="AE84" s="2" t="s">
        <v>150</v>
      </c>
      <c r="AF84" s="2">
        <v>7</v>
      </c>
      <c r="AG84" s="2" t="s">
        <v>63</v>
      </c>
      <c r="AH84" s="2" t="s">
        <v>63</v>
      </c>
      <c r="AI84" s="2" t="s">
        <v>63</v>
      </c>
      <c r="AJ84" s="2" t="s">
        <v>100</v>
      </c>
      <c r="AK84" s="2" t="s">
        <v>65</v>
      </c>
      <c r="AL84" s="7">
        <v>124500</v>
      </c>
      <c r="AM84" s="2" t="s">
        <v>630</v>
      </c>
      <c r="AN84" s="2" t="s">
        <v>103</v>
      </c>
      <c r="AO84" s="2" t="s">
        <v>104</v>
      </c>
      <c r="AP84" s="2" t="s">
        <v>128</v>
      </c>
      <c r="AQ84" s="2" t="s">
        <v>247</v>
      </c>
      <c r="AR84" s="2" t="s">
        <v>89</v>
      </c>
      <c r="AS84" s="2" t="s">
        <v>63</v>
      </c>
      <c r="AT84" s="2" t="s">
        <v>62</v>
      </c>
      <c r="AU84" s="2" t="s">
        <v>62</v>
      </c>
      <c r="AV84" s="2" t="s">
        <v>290</v>
      </c>
      <c r="AW84" s="2" t="s">
        <v>631</v>
      </c>
      <c r="AX84" s="2" t="s">
        <v>92</v>
      </c>
      <c r="AY84" s="3">
        <v>17900</v>
      </c>
      <c r="AZ84" s="2" t="s">
        <v>76</v>
      </c>
      <c r="BA84" s="2"/>
    </row>
    <row r="85" ht="20" customHeight="1" spans="1:53" x14ac:dyDescent="0.25">
      <c r="A85" s="2" t="s">
        <v>632</v>
      </c>
      <c r="B85" s="2" t="s">
        <v>284</v>
      </c>
      <c r="C85" s="2" t="s">
        <v>293</v>
      </c>
      <c r="D85" s="2" t="s">
        <v>294</v>
      </c>
      <c r="E85" s="2" t="s">
        <v>295</v>
      </c>
      <c r="F85" s="2">
        <v>2023</v>
      </c>
      <c r="G85" s="2">
        <v>2023</v>
      </c>
      <c r="H85" s="2" t="s">
        <v>58</v>
      </c>
      <c r="I85" s="2" t="s">
        <v>97</v>
      </c>
      <c r="J85" s="2" t="s">
        <v>172</v>
      </c>
      <c r="K85" s="2" t="s">
        <v>98</v>
      </c>
      <c r="L85" s="2">
        <v>1</v>
      </c>
      <c r="M85" s="3">
        <v>1685000</v>
      </c>
      <c r="N85" s="3">
        <v>2270000</v>
      </c>
      <c r="O85" s="8" t="s">
        <v>63</v>
      </c>
      <c r="P85" s="3">
        <v>1620000</v>
      </c>
      <c r="Q85" s="3">
        <v>420000</v>
      </c>
      <c r="R85" s="3">
        <f>IF(V85="No",0,MAX(0,M85-Q85))</f>
        <v>1265000</v>
      </c>
      <c r="S85" s="4">
        <v>10.7</v>
      </c>
      <c r="T85" s="2">
        <v>60</v>
      </c>
      <c r="U85" s="3">
        <f>IF(OR(R85&lt;=0,S85&lt;0,T85&lt;=0),"",IF(S85=0,R85/T85,-PMT(S85/1200,T85,R85)))</f>
        <v>27315</v>
      </c>
      <c r="V85" s="2" t="s">
        <v>63</v>
      </c>
      <c r="W85" s="5">
        <v>2198</v>
      </c>
      <c r="X85" s="2">
        <v>172</v>
      </c>
      <c r="Y85" s="4">
        <v>15.4</v>
      </c>
      <c r="Z85" s="5"/>
      <c r="AA85" s="6"/>
      <c r="AB85" s="2">
        <v>7</v>
      </c>
      <c r="AC85" s="2">
        <v>5</v>
      </c>
      <c r="AD85" s="2">
        <v>460</v>
      </c>
      <c r="AE85" s="2" t="s">
        <v>150</v>
      </c>
      <c r="AF85" s="2">
        <v>6</v>
      </c>
      <c r="AG85" s="2" t="s">
        <v>63</v>
      </c>
      <c r="AH85" s="2" t="s">
        <v>63</v>
      </c>
      <c r="AI85" s="2" t="s">
        <v>63</v>
      </c>
      <c r="AJ85" s="2" t="s">
        <v>113</v>
      </c>
      <c r="AK85" s="2" t="s">
        <v>101</v>
      </c>
      <c r="AL85" s="5">
        <v>35800</v>
      </c>
      <c r="AM85" s="2" t="s">
        <v>346</v>
      </c>
      <c r="AN85" s="2" t="s">
        <v>115</v>
      </c>
      <c r="AO85" s="2" t="s">
        <v>116</v>
      </c>
      <c r="AP85" s="2" t="s">
        <v>141</v>
      </c>
      <c r="AQ85" s="2" t="s">
        <v>255</v>
      </c>
      <c r="AR85" s="2" t="s">
        <v>89</v>
      </c>
      <c r="AS85" s="2" t="s">
        <v>63</v>
      </c>
      <c r="AT85" s="2" t="s">
        <v>63</v>
      </c>
      <c r="AU85" s="2" t="s">
        <v>62</v>
      </c>
      <c r="AV85" s="2" t="s">
        <v>297</v>
      </c>
      <c r="AW85" s="2" t="s">
        <v>633</v>
      </c>
      <c r="AX85" s="2" t="s">
        <v>197</v>
      </c>
      <c r="AY85" s="3">
        <v>13700</v>
      </c>
      <c r="AZ85" s="2" t="s">
        <v>76</v>
      </c>
      <c r="BA85" s="2"/>
    </row>
    <row r="86" ht="20" customHeight="1" spans="1:53" x14ac:dyDescent="0.25">
      <c r="A86" s="2" t="s">
        <v>634</v>
      </c>
      <c r="B86" s="2" t="s">
        <v>284</v>
      </c>
      <c r="C86" s="2" t="s">
        <v>300</v>
      </c>
      <c r="D86" s="2" t="s">
        <v>301</v>
      </c>
      <c r="E86" s="2" t="s">
        <v>302</v>
      </c>
      <c r="F86" s="2">
        <v>2023</v>
      </c>
      <c r="G86" s="2">
        <v>2023</v>
      </c>
      <c r="H86" s="2" t="s">
        <v>58</v>
      </c>
      <c r="I86" s="2" t="s">
        <v>97</v>
      </c>
      <c r="J86" s="2" t="s">
        <v>172</v>
      </c>
      <c r="K86" s="2" t="s">
        <v>98</v>
      </c>
      <c r="L86" s="2">
        <v>1</v>
      </c>
      <c r="M86" s="3">
        <v>1540000</v>
      </c>
      <c r="N86" s="3">
        <v>2080000</v>
      </c>
      <c r="O86" s="2" t="s">
        <v>62</v>
      </c>
      <c r="P86" s="3">
        <v>1540000</v>
      </c>
      <c r="Q86" s="3">
        <v>385000</v>
      </c>
      <c r="R86" s="3">
        <f>IF(V86="No",0,MAX(0,M86-Q86))</f>
        <v>1155000</v>
      </c>
      <c r="S86" s="4">
        <v>10.7</v>
      </c>
      <c r="T86" s="2">
        <v>36</v>
      </c>
      <c r="U86" s="3">
        <f>IF(OR(R86&lt;=0,S86&lt;0,T86&lt;=0),"",IF(S86=0,R86/T86,-PMT(S86/1200,T86,R86)))</f>
        <v>37649</v>
      </c>
      <c r="V86" s="2" t="s">
        <v>63</v>
      </c>
      <c r="W86" s="5">
        <v>2184</v>
      </c>
      <c r="X86" s="2">
        <v>172</v>
      </c>
      <c r="Y86" s="4">
        <v>15.2</v>
      </c>
      <c r="Z86" s="5"/>
      <c r="AA86" s="6"/>
      <c r="AB86" s="2">
        <v>5</v>
      </c>
      <c r="AC86" s="2">
        <v>5</v>
      </c>
      <c r="AD86" s="2">
        <v>447</v>
      </c>
      <c r="AE86" s="2" t="s">
        <v>138</v>
      </c>
      <c r="AF86" s="2">
        <v>6</v>
      </c>
      <c r="AG86" s="2" t="s">
        <v>63</v>
      </c>
      <c r="AH86" s="2" t="s">
        <v>63</v>
      </c>
      <c r="AI86" s="2" t="s">
        <v>63</v>
      </c>
      <c r="AJ86" s="2" t="s">
        <v>64</v>
      </c>
      <c r="AK86" s="2" t="s">
        <v>101</v>
      </c>
      <c r="AL86" s="5">
        <v>44300</v>
      </c>
      <c r="AM86" s="2" t="s">
        <v>635</v>
      </c>
      <c r="AN86" s="2" t="s">
        <v>127</v>
      </c>
      <c r="AO86" s="2" t="s">
        <v>127</v>
      </c>
      <c r="AP86" s="2" t="s">
        <v>69</v>
      </c>
      <c r="AQ86" s="2" t="s">
        <v>263</v>
      </c>
      <c r="AR86" s="2" t="s">
        <v>71</v>
      </c>
      <c r="AS86" s="2" t="s">
        <v>62</v>
      </c>
      <c r="AT86" s="2" t="s">
        <v>63</v>
      </c>
      <c r="AU86" s="2" t="s">
        <v>62</v>
      </c>
      <c r="AV86" s="2" t="s">
        <v>304</v>
      </c>
      <c r="AW86" s="2" t="s">
        <v>636</v>
      </c>
      <c r="AX86" s="2" t="s">
        <v>197</v>
      </c>
      <c r="AY86" s="3">
        <v>13200</v>
      </c>
      <c r="AZ86" s="2" t="s">
        <v>76</v>
      </c>
      <c r="BA86" s="2"/>
    </row>
    <row r="87" ht="20" customHeight="1" spans="1:53" x14ac:dyDescent="0.25">
      <c r="A87" s="2" t="s">
        <v>637</v>
      </c>
      <c r="B87" s="2" t="s">
        <v>284</v>
      </c>
      <c r="C87" s="2" t="s">
        <v>307</v>
      </c>
      <c r="D87" s="2" t="s">
        <v>308</v>
      </c>
      <c r="E87" s="2" t="s">
        <v>309</v>
      </c>
      <c r="F87" s="2">
        <v>2024</v>
      </c>
      <c r="G87" s="2">
        <v>2025</v>
      </c>
      <c r="H87" s="2" t="s">
        <v>58</v>
      </c>
      <c r="I87" s="2" t="s">
        <v>97</v>
      </c>
      <c r="J87" s="2" t="s">
        <v>60</v>
      </c>
      <c r="K87" s="2" t="s">
        <v>98</v>
      </c>
      <c r="L87" s="2">
        <v>1</v>
      </c>
      <c r="M87" s="3">
        <v>1205000</v>
      </c>
      <c r="N87" s="3">
        <v>1470000</v>
      </c>
      <c r="O87" s="8" t="s">
        <v>63</v>
      </c>
      <c r="P87" s="3">
        <v>1145000</v>
      </c>
      <c r="Q87" s="3">
        <v>300000</v>
      </c>
      <c r="R87" s="3">
        <f>IF(V87="No",0,MAX(0,M87-Q87))</f>
        <v>905000</v>
      </c>
      <c r="S87" s="4">
        <v>10.55</v>
      </c>
      <c r="T87" s="2">
        <v>48</v>
      </c>
      <c r="U87" s="3">
        <f>IF(OR(R87&lt;=0,S87&lt;0,T87&lt;=0),"",IF(S87=0,R87/T87,-PMT(S87/1200,T87,R87)))</f>
        <v>23193</v>
      </c>
      <c r="V87" s="2" t="s">
        <v>63</v>
      </c>
      <c r="W87" s="5">
        <v>1197</v>
      </c>
      <c r="X87" s="2">
        <v>129</v>
      </c>
      <c r="Y87" s="4">
        <v>18.2</v>
      </c>
      <c r="Z87" s="5"/>
      <c r="AA87" s="6"/>
      <c r="AB87" s="2">
        <v>5</v>
      </c>
      <c r="AC87" s="2">
        <v>5</v>
      </c>
      <c r="AD87" s="2">
        <v>364</v>
      </c>
      <c r="AE87" s="2" t="s">
        <v>138</v>
      </c>
      <c r="AF87" s="2">
        <v>6</v>
      </c>
      <c r="AG87" s="2" t="s">
        <v>63</v>
      </c>
      <c r="AH87" s="2" t="s">
        <v>63</v>
      </c>
      <c r="AI87" s="2" t="s">
        <v>63</v>
      </c>
      <c r="AJ87" s="2" t="s">
        <v>83</v>
      </c>
      <c r="AK87" s="2" t="s">
        <v>84</v>
      </c>
      <c r="AL87" s="5">
        <v>17300</v>
      </c>
      <c r="AM87" s="2" t="s">
        <v>361</v>
      </c>
      <c r="AN87" s="2" t="s">
        <v>115</v>
      </c>
      <c r="AO87" s="2" t="s">
        <v>140</v>
      </c>
      <c r="AP87" s="2" t="s">
        <v>69</v>
      </c>
      <c r="AQ87" s="2" t="s">
        <v>271</v>
      </c>
      <c r="AR87" s="2" t="s">
        <v>89</v>
      </c>
      <c r="AS87" s="2" t="s">
        <v>63</v>
      </c>
      <c r="AT87" s="2" t="s">
        <v>63</v>
      </c>
      <c r="AU87" s="2" t="s">
        <v>62</v>
      </c>
      <c r="AV87" s="2" t="s">
        <v>311</v>
      </c>
      <c r="AW87" s="2" t="s">
        <v>638</v>
      </c>
      <c r="AX87" s="2" t="s">
        <v>92</v>
      </c>
      <c r="AY87" s="3">
        <v>9100</v>
      </c>
      <c r="AZ87" s="2" t="s">
        <v>76</v>
      </c>
      <c r="BA87" s="2"/>
    </row>
    <row r="88" ht="20" customHeight="1" spans="1:53" x14ac:dyDescent="0.25">
      <c r="A88" s="9" t="s">
        <v>639</v>
      </c>
      <c r="B88" s="9" t="s">
        <v>284</v>
      </c>
      <c r="C88" s="9" t="s">
        <v>314</v>
      </c>
      <c r="D88" s="9" t="s">
        <v>315</v>
      </c>
      <c r="E88" s="9" t="s">
        <v>316</v>
      </c>
      <c r="F88" s="9">
        <v>2025</v>
      </c>
      <c r="G88" s="9">
        <v>2025</v>
      </c>
      <c r="H88" s="9" t="s">
        <v>58</v>
      </c>
      <c r="I88" s="9" t="s">
        <v>278</v>
      </c>
      <c r="J88" s="9" t="s">
        <v>210</v>
      </c>
      <c r="K88" s="9" t="s">
        <v>98</v>
      </c>
      <c r="L88" s="9">
        <v>1</v>
      </c>
      <c r="M88" s="10">
        <v>2375000</v>
      </c>
      <c r="N88" s="10">
        <v>2625000</v>
      </c>
      <c r="O88" s="8" t="s">
        <v>63</v>
      </c>
      <c r="P88" s="10">
        <v>2280000</v>
      </c>
      <c r="Q88" s="10">
        <v>595000</v>
      </c>
      <c r="R88" s="10">
        <f>IF(V88="No",0,MAX(0,M88-Q88))</f>
        <v>1780000</v>
      </c>
      <c r="S88" s="11">
        <v>10.4</v>
      </c>
      <c r="T88" s="9">
        <v>60</v>
      </c>
      <c r="U88" s="10">
        <f>IF(OR(R88&lt;=0,S88&lt;0,T88&lt;=0),"",IF(S88=0,R88/T88,-PMT(S88/1200,T88,R88)))</f>
        <v>38171</v>
      </c>
      <c r="V88" s="9" t="s">
        <v>63</v>
      </c>
      <c r="W88" s="12"/>
      <c r="X88" s="9">
        <v>282</v>
      </c>
      <c r="Y88" s="11"/>
      <c r="Z88" s="12">
        <v>682</v>
      </c>
      <c r="AA88" s="13">
        <v>79</v>
      </c>
      <c r="AB88" s="9">
        <v>5</v>
      </c>
      <c r="AC88" s="9">
        <v>5</v>
      </c>
      <c r="AD88" s="9">
        <v>455</v>
      </c>
      <c r="AE88" s="9" t="s">
        <v>138</v>
      </c>
      <c r="AF88" s="9">
        <v>7</v>
      </c>
      <c r="AG88" s="9" t="s">
        <v>63</v>
      </c>
      <c r="AH88" s="9" t="s">
        <v>63</v>
      </c>
      <c r="AI88" s="9" t="s">
        <v>63</v>
      </c>
      <c r="AJ88" s="9" t="s">
        <v>100</v>
      </c>
      <c r="AK88" s="9" t="s">
        <v>84</v>
      </c>
      <c r="AL88" s="12">
        <v>11400</v>
      </c>
      <c r="AM88" s="9" t="s">
        <v>640</v>
      </c>
      <c r="AN88" s="9" t="s">
        <v>67</v>
      </c>
      <c r="AO88" s="9" t="s">
        <v>152</v>
      </c>
      <c r="AP88" s="9" t="s">
        <v>69</v>
      </c>
      <c r="AQ88" s="9" t="s">
        <v>280</v>
      </c>
      <c r="AR88" s="9" t="s">
        <v>89</v>
      </c>
      <c r="AS88" s="9" t="s">
        <v>63</v>
      </c>
      <c r="AT88" s="9" t="s">
        <v>63</v>
      </c>
      <c r="AU88" s="9" t="s">
        <v>62</v>
      </c>
      <c r="AV88" s="9" t="s">
        <v>318</v>
      </c>
      <c r="AW88" s="9" t="s">
        <v>641</v>
      </c>
      <c r="AX88" s="9" t="s">
        <v>197</v>
      </c>
      <c r="AY88" s="10">
        <v>6000</v>
      </c>
      <c r="AZ88" s="9" t="s">
        <v>76</v>
      </c>
      <c r="BA88" s="9"/>
    </row>
    <row r="89" ht="20" customHeight="1" spans="1:53" x14ac:dyDescent="0.25">
      <c r="A89" s="2" t="s">
        <v>642</v>
      </c>
      <c r="B89" s="2" t="s">
        <v>321</v>
      </c>
      <c r="C89" s="2" t="s">
        <v>322</v>
      </c>
      <c r="D89" s="2" t="s">
        <v>40</v>
      </c>
      <c r="E89" s="2" t="s">
        <v>323</v>
      </c>
      <c r="F89" s="2">
        <v>2015</v>
      </c>
      <c r="G89" s="2">
        <v>2015</v>
      </c>
      <c r="H89" s="2" t="s">
        <v>58</v>
      </c>
      <c r="I89" s="2" t="s">
        <v>149</v>
      </c>
      <c r="J89" s="2" t="s">
        <v>60</v>
      </c>
      <c r="K89" s="2" t="s">
        <v>137</v>
      </c>
      <c r="L89" s="2">
        <v>2</v>
      </c>
      <c r="M89" s="3">
        <v>360000</v>
      </c>
      <c r="N89" s="3">
        <v>1185000</v>
      </c>
      <c r="O89" s="2" t="s">
        <v>62</v>
      </c>
      <c r="P89" s="3">
        <v>360000</v>
      </c>
      <c r="Q89" s="3">
        <v>90000</v>
      </c>
      <c r="R89" s="3">
        <f>IF(V89="No",0,MAX(0,M89-Q89))</f>
        <v>0</v>
      </c>
      <c r="S89" s="4">
        <v>0</v>
      </c>
      <c r="T89" s="2">
        <v>0</v>
      </c>
      <c r="U89" s="3" t="str">
        <f>IF(OR(R89&lt;=0,S89&lt;0,T89&lt;=0),"",IF(S89=0,R89/T89,-PMT(S89/1200,T89,R89)))</f>
        <v/>
      </c>
      <c r="V89" s="2" t="s">
        <v>62</v>
      </c>
      <c r="W89" s="5">
        <v>1498</v>
      </c>
      <c r="X89" s="2">
        <v>119</v>
      </c>
      <c r="Y89" s="4">
        <v>18.4</v>
      </c>
      <c r="Z89" s="5"/>
      <c r="AA89" s="6"/>
      <c r="AB89" s="2">
        <v>5</v>
      </c>
      <c r="AC89" s="2">
        <v>4</v>
      </c>
      <c r="AD89" s="2">
        <v>506</v>
      </c>
      <c r="AE89" s="2" t="s">
        <v>324</v>
      </c>
      <c r="AF89" s="2">
        <v>6</v>
      </c>
      <c r="AG89" s="2" t="s">
        <v>63</v>
      </c>
      <c r="AH89" s="2" t="s">
        <v>63</v>
      </c>
      <c r="AI89" s="2" t="s">
        <v>63</v>
      </c>
      <c r="AJ89" s="2" t="s">
        <v>113</v>
      </c>
      <c r="AK89" s="2" t="s">
        <v>65</v>
      </c>
      <c r="AL89" s="7">
        <v>98200</v>
      </c>
      <c r="AM89" s="2" t="s">
        <v>375</v>
      </c>
      <c r="AN89" s="2" t="s">
        <v>164</v>
      </c>
      <c r="AO89" s="2" t="s">
        <v>165</v>
      </c>
      <c r="AP89" s="2" t="s">
        <v>69</v>
      </c>
      <c r="AQ89" s="2" t="s">
        <v>289</v>
      </c>
      <c r="AR89" s="2" t="s">
        <v>71</v>
      </c>
      <c r="AS89" s="2" t="s">
        <v>63</v>
      </c>
      <c r="AT89" s="2" t="s">
        <v>62</v>
      </c>
      <c r="AU89" s="2" t="s">
        <v>62</v>
      </c>
      <c r="AV89" s="2" t="s">
        <v>326</v>
      </c>
      <c r="AW89" s="2" t="s">
        <v>643</v>
      </c>
      <c r="AX89" s="2" t="s">
        <v>92</v>
      </c>
      <c r="AY89" s="3">
        <v>12200</v>
      </c>
      <c r="AZ89" s="2" t="s">
        <v>76</v>
      </c>
      <c r="BA89" s="2"/>
    </row>
    <row r="90" ht="20" customHeight="1" spans="1:53" x14ac:dyDescent="0.25">
      <c r="A90" s="2" t="s">
        <v>644</v>
      </c>
      <c r="B90" s="2" t="s">
        <v>321</v>
      </c>
      <c r="C90" s="2" t="s">
        <v>329</v>
      </c>
      <c r="D90" s="2" t="s">
        <v>330</v>
      </c>
      <c r="E90" s="2" t="s">
        <v>331</v>
      </c>
      <c r="F90" s="2">
        <v>2022</v>
      </c>
      <c r="G90" s="2">
        <v>2022</v>
      </c>
      <c r="H90" s="2" t="s">
        <v>58</v>
      </c>
      <c r="I90" s="2" t="s">
        <v>149</v>
      </c>
      <c r="J90" s="2" t="s">
        <v>136</v>
      </c>
      <c r="K90" s="2" t="s">
        <v>137</v>
      </c>
      <c r="L90" s="2">
        <v>1</v>
      </c>
      <c r="M90" s="3">
        <v>1240000</v>
      </c>
      <c r="N90" s="3">
        <v>1850000</v>
      </c>
      <c r="O90" s="8" t="s">
        <v>63</v>
      </c>
      <c r="P90" s="3">
        <v>1180000</v>
      </c>
      <c r="Q90" s="3">
        <v>310000</v>
      </c>
      <c r="R90" s="3">
        <f>IF(V90="No",0,MAX(0,M90-Q90))</f>
        <v>930000</v>
      </c>
      <c r="S90" s="4">
        <v>10.85</v>
      </c>
      <c r="T90" s="2">
        <v>48</v>
      </c>
      <c r="U90" s="3">
        <f>IF(OR(R90&lt;=0,S90&lt;0,T90&lt;=0),"",IF(S90=0,R90/T90,-PMT(S90/1200,T90,R90)))</f>
        <v>23969</v>
      </c>
      <c r="V90" s="2" t="s">
        <v>63</v>
      </c>
      <c r="W90" s="5">
        <v>1498</v>
      </c>
      <c r="X90" s="2">
        <v>124</v>
      </c>
      <c r="Y90" s="4">
        <v>27.13</v>
      </c>
      <c r="Z90" s="5"/>
      <c r="AA90" s="6"/>
      <c r="AB90" s="2">
        <v>5</v>
      </c>
      <c r="AC90" s="2">
        <v>4</v>
      </c>
      <c r="AD90" s="2">
        <v>410</v>
      </c>
      <c r="AE90" s="2" t="s">
        <v>324</v>
      </c>
      <c r="AF90" s="2">
        <v>6</v>
      </c>
      <c r="AG90" s="2" t="s">
        <v>63</v>
      </c>
      <c r="AH90" s="2" t="s">
        <v>63</v>
      </c>
      <c r="AI90" s="2" t="s">
        <v>63</v>
      </c>
      <c r="AJ90" s="2" t="s">
        <v>64</v>
      </c>
      <c r="AK90" s="2" t="s">
        <v>101</v>
      </c>
      <c r="AL90" s="5">
        <v>46300</v>
      </c>
      <c r="AM90" s="2" t="s">
        <v>645</v>
      </c>
      <c r="AN90" s="2" t="s">
        <v>174</v>
      </c>
      <c r="AO90" s="2" t="s">
        <v>175</v>
      </c>
      <c r="AP90" s="2" t="s">
        <v>128</v>
      </c>
      <c r="AQ90" s="2" t="s">
        <v>70</v>
      </c>
      <c r="AR90" s="2" t="s">
        <v>89</v>
      </c>
      <c r="AS90" s="2" t="s">
        <v>63</v>
      </c>
      <c r="AT90" s="2" t="s">
        <v>63</v>
      </c>
      <c r="AU90" s="2" t="s">
        <v>62</v>
      </c>
      <c r="AV90" s="2" t="s">
        <v>333</v>
      </c>
      <c r="AW90" s="2" t="s">
        <v>646</v>
      </c>
      <c r="AX90" s="2" t="s">
        <v>335</v>
      </c>
      <c r="AY90" s="3">
        <v>10600</v>
      </c>
      <c r="AZ90" s="2" t="s">
        <v>76</v>
      </c>
      <c r="BA90" s="2"/>
    </row>
    <row r="91" ht="20" customHeight="1" spans="1:53" x14ac:dyDescent="0.25">
      <c r="A91" s="2" t="s">
        <v>647</v>
      </c>
      <c r="B91" s="2" t="s">
        <v>321</v>
      </c>
      <c r="C91" s="2" t="s">
        <v>337</v>
      </c>
      <c r="D91" s="2" t="s">
        <v>338</v>
      </c>
      <c r="E91" s="2" t="s">
        <v>323</v>
      </c>
      <c r="F91" s="2">
        <v>2024</v>
      </c>
      <c r="G91" s="2">
        <v>2024</v>
      </c>
      <c r="H91" s="2" t="s">
        <v>58</v>
      </c>
      <c r="I91" s="2" t="s">
        <v>97</v>
      </c>
      <c r="J91" s="2" t="s">
        <v>60</v>
      </c>
      <c r="K91" s="2" t="s">
        <v>137</v>
      </c>
      <c r="L91" s="2">
        <v>1</v>
      </c>
      <c r="M91" s="3">
        <v>1280000</v>
      </c>
      <c r="N91" s="3">
        <v>1560000</v>
      </c>
      <c r="O91" s="8" t="s">
        <v>63</v>
      </c>
      <c r="P91" s="3">
        <v>1230000</v>
      </c>
      <c r="Q91" s="3">
        <v>320000</v>
      </c>
      <c r="R91" s="3">
        <f>IF(V91="No",0,MAX(0,M91-Q91))</f>
        <v>960000</v>
      </c>
      <c r="S91" s="4">
        <v>10.55</v>
      </c>
      <c r="T91" s="2">
        <v>60</v>
      </c>
      <c r="U91" s="3">
        <f>IF(OR(R91&lt;=0,S91&lt;0,T91&lt;=0),"",IF(S91=0,R91/T91,-PMT(S91/1200,T91,R91)))</f>
        <v>20658</v>
      </c>
      <c r="V91" s="2" t="s">
        <v>63</v>
      </c>
      <c r="W91" s="5">
        <v>1498</v>
      </c>
      <c r="X91" s="2">
        <v>119</v>
      </c>
      <c r="Y91" s="4">
        <v>16.92</v>
      </c>
      <c r="Z91" s="5"/>
      <c r="AA91" s="6"/>
      <c r="AB91" s="2">
        <v>5</v>
      </c>
      <c r="AC91" s="2">
        <v>5</v>
      </c>
      <c r="AD91" s="2">
        <v>458</v>
      </c>
      <c r="AE91" s="2"/>
      <c r="AF91" s="2">
        <v>6</v>
      </c>
      <c r="AG91" s="2" t="s">
        <v>63</v>
      </c>
      <c r="AH91" s="2" t="s">
        <v>63</v>
      </c>
      <c r="AI91" s="2" t="s">
        <v>63</v>
      </c>
      <c r="AJ91" s="2" t="s">
        <v>83</v>
      </c>
      <c r="AK91" s="2" t="s">
        <v>84</v>
      </c>
      <c r="AL91" s="5">
        <v>20000</v>
      </c>
      <c r="AM91" s="2" t="s">
        <v>390</v>
      </c>
      <c r="AN91" s="2" t="s">
        <v>185</v>
      </c>
      <c r="AO91" s="2" t="s">
        <v>186</v>
      </c>
      <c r="AP91" s="2" t="s">
        <v>141</v>
      </c>
      <c r="AQ91" s="2" t="s">
        <v>88</v>
      </c>
      <c r="AR91" s="2" t="s">
        <v>89</v>
      </c>
      <c r="AS91" s="2" t="s">
        <v>63</v>
      </c>
      <c r="AT91" s="2" t="s">
        <v>63</v>
      </c>
      <c r="AU91" s="2" t="s">
        <v>62</v>
      </c>
      <c r="AV91" s="2" t="s">
        <v>340</v>
      </c>
      <c r="AW91" s="2" t="s">
        <v>648</v>
      </c>
      <c r="AX91" s="2" t="s">
        <v>92</v>
      </c>
      <c r="AY91" s="3">
        <v>9300</v>
      </c>
      <c r="AZ91" s="2" t="s">
        <v>76</v>
      </c>
      <c r="BA91" s="2"/>
    </row>
    <row r="92" ht="20" customHeight="1" spans="1:53" x14ac:dyDescent="0.25">
      <c r="A92" s="2" t="s">
        <v>649</v>
      </c>
      <c r="B92" s="2" t="s">
        <v>321</v>
      </c>
      <c r="C92" s="2" t="s">
        <v>343</v>
      </c>
      <c r="D92" s="2" t="s">
        <v>344</v>
      </c>
      <c r="E92" s="2" t="s">
        <v>345</v>
      </c>
      <c r="F92" s="2">
        <v>2024</v>
      </c>
      <c r="G92" s="2">
        <v>2025</v>
      </c>
      <c r="H92" s="2" t="s">
        <v>58</v>
      </c>
      <c r="I92" s="2" t="s">
        <v>149</v>
      </c>
      <c r="J92" s="2" t="s">
        <v>60</v>
      </c>
      <c r="K92" s="2" t="s">
        <v>137</v>
      </c>
      <c r="L92" s="2">
        <v>1</v>
      </c>
      <c r="M92" s="3">
        <v>850000</v>
      </c>
      <c r="N92" s="3">
        <v>1035000</v>
      </c>
      <c r="O92" s="2" t="s">
        <v>62</v>
      </c>
      <c r="P92" s="3">
        <v>850000</v>
      </c>
      <c r="Q92" s="3">
        <v>215000</v>
      </c>
      <c r="R92" s="3">
        <f>IF(V92="No",0,MAX(0,M92-Q92))</f>
        <v>635000</v>
      </c>
      <c r="S92" s="4">
        <v>10.55</v>
      </c>
      <c r="T92" s="2">
        <v>36</v>
      </c>
      <c r="U92" s="3">
        <f>IF(OR(R92&lt;=0,S92&lt;0,T92&lt;=0),"",IF(S92=0,R92/T92,-PMT(S92/1200,T92,R92)))</f>
        <v>20654</v>
      </c>
      <c r="V92" s="2" t="s">
        <v>63</v>
      </c>
      <c r="W92" s="5">
        <v>1199</v>
      </c>
      <c r="X92" s="2">
        <v>89</v>
      </c>
      <c r="Y92" s="4">
        <v>19.46</v>
      </c>
      <c r="Z92" s="5"/>
      <c r="AA92" s="6"/>
      <c r="AB92" s="2">
        <v>5</v>
      </c>
      <c r="AC92" s="2">
        <v>4</v>
      </c>
      <c r="AD92" s="2">
        <v>416</v>
      </c>
      <c r="AE92" s="2"/>
      <c r="AF92" s="2">
        <v>6</v>
      </c>
      <c r="AG92" s="2" t="s">
        <v>63</v>
      </c>
      <c r="AH92" s="2" t="s">
        <v>63</v>
      </c>
      <c r="AI92" s="2" t="s">
        <v>63</v>
      </c>
      <c r="AJ92" s="2" t="s">
        <v>100</v>
      </c>
      <c r="AK92" s="2" t="s">
        <v>84</v>
      </c>
      <c r="AL92" s="5">
        <v>15500</v>
      </c>
      <c r="AM92" s="2" t="s">
        <v>650</v>
      </c>
      <c r="AN92" s="2" t="s">
        <v>67</v>
      </c>
      <c r="AO92" s="2" t="s">
        <v>68</v>
      </c>
      <c r="AP92" s="2" t="s">
        <v>69</v>
      </c>
      <c r="AQ92" s="2" t="s">
        <v>105</v>
      </c>
      <c r="AR92" s="2" t="s">
        <v>71</v>
      </c>
      <c r="AS92" s="2" t="s">
        <v>63</v>
      </c>
      <c r="AT92" s="2" t="s">
        <v>63</v>
      </c>
      <c r="AU92" s="2" t="s">
        <v>72</v>
      </c>
      <c r="AV92" s="2" t="s">
        <v>347</v>
      </c>
      <c r="AW92" s="2" t="s">
        <v>651</v>
      </c>
      <c r="AX92" s="2" t="s">
        <v>120</v>
      </c>
      <c r="AY92" s="3">
        <v>7700</v>
      </c>
      <c r="AZ92" s="2" t="s">
        <v>76</v>
      </c>
      <c r="BA92" s="2"/>
    </row>
    <row r="93" ht="20" customHeight="1" spans="1:53" x14ac:dyDescent="0.25">
      <c r="A93" s="2" t="s">
        <v>652</v>
      </c>
      <c r="B93" s="2" t="s">
        <v>350</v>
      </c>
      <c r="C93" s="2" t="s">
        <v>351</v>
      </c>
      <c r="D93" s="2" t="s">
        <v>352</v>
      </c>
      <c r="E93" s="2" t="s">
        <v>353</v>
      </c>
      <c r="F93" s="2">
        <v>2026</v>
      </c>
      <c r="G93" s="2">
        <v>2026</v>
      </c>
      <c r="H93" s="2" t="s">
        <v>171</v>
      </c>
      <c r="I93" s="2" t="s">
        <v>125</v>
      </c>
      <c r="J93" s="2" t="s">
        <v>136</v>
      </c>
      <c r="K93" s="2" t="s">
        <v>137</v>
      </c>
      <c r="L93" s="2">
        <v>0</v>
      </c>
      <c r="M93" s="3">
        <v>3098000</v>
      </c>
      <c r="N93" s="3">
        <v>3100000</v>
      </c>
      <c r="O93" s="2" t="s">
        <v>62</v>
      </c>
      <c r="P93" s="3">
        <v>3098000</v>
      </c>
      <c r="Q93" s="3">
        <v>620000</v>
      </c>
      <c r="R93" s="3">
        <f>IF(V93="No",0,MAX(0,M93-Q93))</f>
        <v>2478000</v>
      </c>
      <c r="S93" s="4">
        <v>8.95</v>
      </c>
      <c r="T93" s="2">
        <v>72</v>
      </c>
      <c r="U93" s="3">
        <f>IF(OR(R93&lt;=0,S93&lt;0,T93&lt;=0),"",IF(S93=0,R93/T93,-PMT(S93/1200,T93,R93)))</f>
        <v>44606</v>
      </c>
      <c r="V93" s="2" t="s">
        <v>63</v>
      </c>
      <c r="W93" s="5">
        <v>1987</v>
      </c>
      <c r="X93" s="2">
        <v>184</v>
      </c>
      <c r="Y93" s="4">
        <v>23.24</v>
      </c>
      <c r="Z93" s="5"/>
      <c r="AA93" s="6"/>
      <c r="AB93" s="2">
        <v>7</v>
      </c>
      <c r="AC93" s="2">
        <v>5</v>
      </c>
      <c r="AD93" s="2">
        <v>300</v>
      </c>
      <c r="AE93" s="2" t="s">
        <v>138</v>
      </c>
      <c r="AF93" s="2">
        <v>6</v>
      </c>
      <c r="AG93" s="2" t="s">
        <v>63</v>
      </c>
      <c r="AH93" s="2" t="s">
        <v>63</v>
      </c>
      <c r="AI93" s="2" t="s">
        <v>63</v>
      </c>
      <c r="AJ93" s="2" t="s">
        <v>113</v>
      </c>
      <c r="AK93" s="2" t="s">
        <v>171</v>
      </c>
      <c r="AL93" s="5">
        <v>16</v>
      </c>
      <c r="AM93" s="2" t="s">
        <v>653</v>
      </c>
      <c r="AN93" s="2" t="s">
        <v>86</v>
      </c>
      <c r="AO93" s="2" t="s">
        <v>87</v>
      </c>
      <c r="AP93" s="2" t="s">
        <v>69</v>
      </c>
      <c r="AQ93" s="2" t="s">
        <v>117</v>
      </c>
      <c r="AR93" s="2" t="s">
        <v>89</v>
      </c>
      <c r="AS93" s="2" t="s">
        <v>63</v>
      </c>
      <c r="AT93" s="2" t="s">
        <v>63</v>
      </c>
      <c r="AU93" s="2" t="s">
        <v>62</v>
      </c>
      <c r="AV93" s="2" t="s">
        <v>355</v>
      </c>
      <c r="AW93" s="2" t="s">
        <v>654</v>
      </c>
      <c r="AX93" s="2" t="s">
        <v>92</v>
      </c>
      <c r="AY93" s="3">
        <v>10200</v>
      </c>
      <c r="AZ93" s="2" t="s">
        <v>76</v>
      </c>
      <c r="BA93" s="2"/>
    </row>
    <row r="94" ht="20" customHeight="1" spans="1:53" x14ac:dyDescent="0.25">
      <c r="A94" s="2" t="s">
        <v>655</v>
      </c>
      <c r="B94" s="2" t="s">
        <v>350</v>
      </c>
      <c r="C94" s="2" t="s">
        <v>358</v>
      </c>
      <c r="D94" s="2" t="s">
        <v>359</v>
      </c>
      <c r="E94" s="2" t="s">
        <v>360</v>
      </c>
      <c r="F94" s="2">
        <v>2026</v>
      </c>
      <c r="G94" s="2">
        <v>2026</v>
      </c>
      <c r="H94" s="2" t="s">
        <v>171</v>
      </c>
      <c r="I94" s="2" t="s">
        <v>97</v>
      </c>
      <c r="J94" s="2" t="s">
        <v>172</v>
      </c>
      <c r="K94" s="2" t="s">
        <v>98</v>
      </c>
      <c r="L94" s="2">
        <v>0</v>
      </c>
      <c r="M94" s="3">
        <v>4764000</v>
      </c>
      <c r="N94" s="3">
        <v>4765000</v>
      </c>
      <c r="O94" s="8" t="s">
        <v>63</v>
      </c>
      <c r="P94" s="3">
        <v>4575000</v>
      </c>
      <c r="Q94" s="3">
        <v>955000</v>
      </c>
      <c r="R94" s="3">
        <f>IF(V94="No",0,MAX(0,M94-Q94))</f>
        <v>3809000</v>
      </c>
      <c r="S94" s="4">
        <v>8.95</v>
      </c>
      <c r="T94" s="2">
        <v>84</v>
      </c>
      <c r="U94" s="3">
        <f>IF(OR(R94&lt;=0,S94&lt;0,T94&lt;=0),"",IF(S94=0,R94/T94,-PMT(S94/1200,T94,R94)))</f>
        <v>61187</v>
      </c>
      <c r="V94" s="2" t="s">
        <v>63</v>
      </c>
      <c r="W94" s="5">
        <v>2755</v>
      </c>
      <c r="X94" s="2">
        <v>201</v>
      </c>
      <c r="Y94" s="4">
        <v>14.2</v>
      </c>
      <c r="Z94" s="5"/>
      <c r="AA94" s="6"/>
      <c r="AB94" s="2">
        <v>7</v>
      </c>
      <c r="AC94" s="2">
        <v>5</v>
      </c>
      <c r="AD94" s="2">
        <v>296</v>
      </c>
      <c r="AE94" s="2" t="s">
        <v>324</v>
      </c>
      <c r="AF94" s="2">
        <v>7</v>
      </c>
      <c r="AG94" s="2" t="s">
        <v>63</v>
      </c>
      <c r="AH94" s="2" t="s">
        <v>63</v>
      </c>
      <c r="AI94" s="2" t="s">
        <v>63</v>
      </c>
      <c r="AJ94" s="2" t="s">
        <v>64</v>
      </c>
      <c r="AK94" s="2" t="s">
        <v>171</v>
      </c>
      <c r="AL94" s="5">
        <v>17</v>
      </c>
      <c r="AM94" s="2" t="s">
        <v>656</v>
      </c>
      <c r="AN94" s="2" t="s">
        <v>103</v>
      </c>
      <c r="AO94" s="2" t="s">
        <v>104</v>
      </c>
      <c r="AP94" s="2" t="s">
        <v>69</v>
      </c>
      <c r="AQ94" s="2" t="s">
        <v>129</v>
      </c>
      <c r="AR94" s="2" t="s">
        <v>89</v>
      </c>
      <c r="AS94" s="2" t="s">
        <v>63</v>
      </c>
      <c r="AT94" s="2" t="s">
        <v>63</v>
      </c>
      <c r="AU94" s="2" t="s">
        <v>62</v>
      </c>
      <c r="AV94" s="2" t="s">
        <v>362</v>
      </c>
      <c r="AW94" s="2" t="s">
        <v>657</v>
      </c>
      <c r="AX94" s="2" t="s">
        <v>335</v>
      </c>
      <c r="AY94" s="3">
        <v>14500</v>
      </c>
      <c r="AZ94" s="2" t="s">
        <v>76</v>
      </c>
      <c r="BA94" s="2"/>
    </row>
    <row r="95" ht="20" customHeight="1" spans="1:53" x14ac:dyDescent="0.25">
      <c r="A95" s="2" t="s">
        <v>658</v>
      </c>
      <c r="B95" s="2" t="s">
        <v>350</v>
      </c>
      <c r="C95" s="2" t="s">
        <v>365</v>
      </c>
      <c r="D95" s="2" t="s">
        <v>366</v>
      </c>
      <c r="E95" s="2" t="s">
        <v>367</v>
      </c>
      <c r="F95" s="2">
        <v>2024</v>
      </c>
      <c r="G95" s="2">
        <v>2024</v>
      </c>
      <c r="H95" s="2" t="s">
        <v>58</v>
      </c>
      <c r="I95" s="2" t="s">
        <v>97</v>
      </c>
      <c r="J95" s="2" t="s">
        <v>136</v>
      </c>
      <c r="K95" s="2" t="s">
        <v>137</v>
      </c>
      <c r="L95" s="2">
        <v>1</v>
      </c>
      <c r="M95" s="3">
        <v>1575000</v>
      </c>
      <c r="N95" s="3">
        <v>1920000</v>
      </c>
      <c r="O95" s="2" t="s">
        <v>62</v>
      </c>
      <c r="P95" s="3">
        <v>1575000</v>
      </c>
      <c r="Q95" s="3">
        <v>395000</v>
      </c>
      <c r="R95" s="3">
        <f>IF(V95="No",0,MAX(0,M95-Q95))</f>
        <v>1180000</v>
      </c>
      <c r="S95" s="4">
        <v>10.55</v>
      </c>
      <c r="T95" s="2">
        <v>36</v>
      </c>
      <c r="U95" s="3">
        <f>IF(OR(R95&lt;=0,S95&lt;0,T95&lt;=0),"",IF(S95=0,R95/T95,-PMT(S95/1200,T95,R95)))</f>
        <v>38381</v>
      </c>
      <c r="V95" s="2" t="s">
        <v>63</v>
      </c>
      <c r="W95" s="5">
        <v>1490</v>
      </c>
      <c r="X95" s="2">
        <v>114</v>
      </c>
      <c r="Y95" s="4">
        <v>27.97</v>
      </c>
      <c r="Z95" s="5"/>
      <c r="AA95" s="6"/>
      <c r="AB95" s="2">
        <v>5</v>
      </c>
      <c r="AC95" s="2">
        <v>5</v>
      </c>
      <c r="AD95" s="2">
        <v>265</v>
      </c>
      <c r="AE95" s="2"/>
      <c r="AF95" s="2">
        <v>6</v>
      </c>
      <c r="AG95" s="2" t="s">
        <v>63</v>
      </c>
      <c r="AH95" s="2" t="s">
        <v>63</v>
      </c>
      <c r="AI95" s="2" t="s">
        <v>63</v>
      </c>
      <c r="AJ95" s="2" t="s">
        <v>83</v>
      </c>
      <c r="AK95" s="2" t="s">
        <v>84</v>
      </c>
      <c r="AL95" s="5">
        <v>16500</v>
      </c>
      <c r="AM95" s="2" t="s">
        <v>419</v>
      </c>
      <c r="AN95" s="2" t="s">
        <v>115</v>
      </c>
      <c r="AO95" s="2" t="s">
        <v>116</v>
      </c>
      <c r="AP95" s="2" t="s">
        <v>69</v>
      </c>
      <c r="AQ95" s="2" t="s">
        <v>142</v>
      </c>
      <c r="AR95" s="2" t="s">
        <v>71</v>
      </c>
      <c r="AS95" s="2" t="s">
        <v>63</v>
      </c>
      <c r="AT95" s="2" t="s">
        <v>63</v>
      </c>
      <c r="AU95" s="2" t="s">
        <v>62</v>
      </c>
      <c r="AV95" s="2" t="s">
        <v>369</v>
      </c>
      <c r="AW95" s="2" t="s">
        <v>659</v>
      </c>
      <c r="AX95" s="2" t="s">
        <v>92</v>
      </c>
      <c r="AY95" s="3">
        <v>9600</v>
      </c>
      <c r="AZ95" s="2" t="s">
        <v>76</v>
      </c>
      <c r="BA95" s="2"/>
    </row>
    <row r="96" ht="20" customHeight="1" spans="1:53" x14ac:dyDescent="0.25">
      <c r="A96" s="2" t="s">
        <v>660</v>
      </c>
      <c r="B96" s="2" t="s">
        <v>350</v>
      </c>
      <c r="C96" s="2" t="s">
        <v>372</v>
      </c>
      <c r="D96" s="2" t="s">
        <v>373</v>
      </c>
      <c r="E96" s="2" t="s">
        <v>374</v>
      </c>
      <c r="F96" s="2">
        <v>2016</v>
      </c>
      <c r="G96" s="2">
        <v>2016</v>
      </c>
      <c r="H96" s="2" t="s">
        <v>58</v>
      </c>
      <c r="I96" s="2" t="s">
        <v>59</v>
      </c>
      <c r="J96" s="2" t="s">
        <v>60</v>
      </c>
      <c r="K96" s="2" t="s">
        <v>81</v>
      </c>
      <c r="L96" s="2">
        <v>2</v>
      </c>
      <c r="M96" s="3">
        <v>250000</v>
      </c>
      <c r="N96" s="3">
        <v>750000</v>
      </c>
      <c r="O96" s="8" t="s">
        <v>63</v>
      </c>
      <c r="P96" s="3">
        <v>240000</v>
      </c>
      <c r="Q96" s="3">
        <v>65000</v>
      </c>
      <c r="R96" s="3">
        <f>IF(V96="No",0,MAX(0,M96-Q96))</f>
        <v>185000</v>
      </c>
      <c r="S96" s="4">
        <v>11.75</v>
      </c>
      <c r="T96" s="2">
        <v>48</v>
      </c>
      <c r="U96" s="3">
        <f>IF(OR(R96&lt;=0,S96&lt;0,T96&lt;=0),"",IF(S96=0,R96/T96,-PMT(S96/1200,T96,R96)))</f>
        <v>4849</v>
      </c>
      <c r="V96" s="2" t="s">
        <v>63</v>
      </c>
      <c r="W96" s="5">
        <v>1197</v>
      </c>
      <c r="X96" s="2">
        <v>89</v>
      </c>
      <c r="Y96" s="4">
        <v>22.94</v>
      </c>
      <c r="Z96" s="5"/>
      <c r="AA96" s="6"/>
      <c r="AB96" s="2">
        <v>5</v>
      </c>
      <c r="AC96" s="2">
        <v>5</v>
      </c>
      <c r="AD96" s="2">
        <v>318</v>
      </c>
      <c r="AE96" s="2"/>
      <c r="AF96" s="2">
        <v>6</v>
      </c>
      <c r="AG96" s="2" t="s">
        <v>63</v>
      </c>
      <c r="AH96" s="2" t="s">
        <v>63</v>
      </c>
      <c r="AI96" s="2" t="s">
        <v>63</v>
      </c>
      <c r="AJ96" s="2" t="s">
        <v>100</v>
      </c>
      <c r="AK96" s="2" t="s">
        <v>65</v>
      </c>
      <c r="AL96" s="7">
        <v>113300</v>
      </c>
      <c r="AM96" s="2" t="s">
        <v>661</v>
      </c>
      <c r="AN96" s="2" t="s">
        <v>127</v>
      </c>
      <c r="AO96" s="2" t="s">
        <v>127</v>
      </c>
      <c r="AP96" s="2" t="s">
        <v>128</v>
      </c>
      <c r="AQ96" s="2" t="s">
        <v>153</v>
      </c>
      <c r="AR96" s="2" t="s">
        <v>89</v>
      </c>
      <c r="AS96" s="2" t="s">
        <v>63</v>
      </c>
      <c r="AT96" s="2" t="s">
        <v>62</v>
      </c>
      <c r="AU96" s="2" t="s">
        <v>62</v>
      </c>
      <c r="AV96" s="2" t="s">
        <v>376</v>
      </c>
      <c r="AW96" s="2" t="s">
        <v>662</v>
      </c>
      <c r="AX96" s="2" t="s">
        <v>75</v>
      </c>
      <c r="AY96" s="3">
        <v>9100</v>
      </c>
      <c r="AZ96" s="2" t="s">
        <v>76</v>
      </c>
      <c r="BA96" s="2"/>
    </row>
    <row r="97" ht="20" customHeight="1" spans="1:53" x14ac:dyDescent="0.25">
      <c r="A97" s="2" t="s">
        <v>663</v>
      </c>
      <c r="B97" s="2" t="s">
        <v>379</v>
      </c>
      <c r="C97" s="2" t="s">
        <v>380</v>
      </c>
      <c r="D97" s="2" t="s">
        <v>381</v>
      </c>
      <c r="E97" s="2" t="s">
        <v>382</v>
      </c>
      <c r="F97" s="2">
        <v>2023</v>
      </c>
      <c r="G97" s="2">
        <v>2024</v>
      </c>
      <c r="H97" s="2" t="s">
        <v>58</v>
      </c>
      <c r="I97" s="2" t="s">
        <v>97</v>
      </c>
      <c r="J97" s="2" t="s">
        <v>60</v>
      </c>
      <c r="K97" s="2" t="s">
        <v>161</v>
      </c>
      <c r="L97" s="2">
        <v>1</v>
      </c>
      <c r="M97" s="3">
        <v>1395000</v>
      </c>
      <c r="N97" s="3">
        <v>1880000</v>
      </c>
      <c r="O97" s="8" t="s">
        <v>63</v>
      </c>
      <c r="P97" s="3">
        <v>1340000</v>
      </c>
      <c r="Q97" s="3">
        <v>350000</v>
      </c>
      <c r="R97" s="3">
        <f>IF(V97="No",0,MAX(0,M97-Q97))</f>
        <v>1045000</v>
      </c>
      <c r="S97" s="4">
        <v>10.7</v>
      </c>
      <c r="T97" s="2">
        <v>60</v>
      </c>
      <c r="U97" s="3">
        <f>IF(OR(R97&lt;=0,S97&lt;0,T97&lt;=0),"",IF(S97=0,R97/T97,-PMT(S97/1200,T97,R97)))</f>
        <v>22565</v>
      </c>
      <c r="V97" s="2" t="s">
        <v>63</v>
      </c>
      <c r="W97" s="5">
        <v>1482</v>
      </c>
      <c r="X97" s="2">
        <v>158</v>
      </c>
      <c r="Y97" s="4">
        <v>17.9</v>
      </c>
      <c r="Z97" s="5"/>
      <c r="AA97" s="6"/>
      <c r="AB97" s="2">
        <v>5</v>
      </c>
      <c r="AC97" s="2">
        <v>5</v>
      </c>
      <c r="AD97" s="2">
        <v>433</v>
      </c>
      <c r="AE97" s="2"/>
      <c r="AF97" s="2">
        <v>6</v>
      </c>
      <c r="AG97" s="2" t="s">
        <v>63</v>
      </c>
      <c r="AH97" s="2" t="s">
        <v>63</v>
      </c>
      <c r="AI97" s="2" t="s">
        <v>63</v>
      </c>
      <c r="AJ97" s="2" t="s">
        <v>113</v>
      </c>
      <c r="AK97" s="2" t="s">
        <v>84</v>
      </c>
      <c r="AL97" s="5">
        <v>23700</v>
      </c>
      <c r="AM97" s="2" t="s">
        <v>434</v>
      </c>
      <c r="AN97" s="2" t="s">
        <v>115</v>
      </c>
      <c r="AO97" s="2" t="s">
        <v>140</v>
      </c>
      <c r="AP97" s="2" t="s">
        <v>141</v>
      </c>
      <c r="AQ97" s="2" t="s">
        <v>166</v>
      </c>
      <c r="AR97" s="2" t="s">
        <v>89</v>
      </c>
      <c r="AS97" s="2" t="s">
        <v>63</v>
      </c>
      <c r="AT97" s="2" t="s">
        <v>63</v>
      </c>
      <c r="AU97" s="2" t="s">
        <v>62</v>
      </c>
      <c r="AV97" s="2" t="s">
        <v>384</v>
      </c>
      <c r="AW97" s="2" t="s">
        <v>664</v>
      </c>
      <c r="AX97" s="2" t="s">
        <v>92</v>
      </c>
      <c r="AY97" s="3">
        <v>11100</v>
      </c>
      <c r="AZ97" s="2" t="s">
        <v>76</v>
      </c>
      <c r="BA97" s="2"/>
    </row>
    <row r="98" ht="20" customHeight="1" spans="1:53" x14ac:dyDescent="0.25">
      <c r="A98" s="2" t="s">
        <v>665</v>
      </c>
      <c r="B98" s="2" t="s">
        <v>379</v>
      </c>
      <c r="C98" s="2" t="s">
        <v>387</v>
      </c>
      <c r="D98" s="2" t="s">
        <v>388</v>
      </c>
      <c r="E98" s="2" t="s">
        <v>389</v>
      </c>
      <c r="F98" s="2">
        <v>2018</v>
      </c>
      <c r="G98" s="2">
        <v>2018</v>
      </c>
      <c r="H98" s="2" t="s">
        <v>58</v>
      </c>
      <c r="I98" s="2" t="s">
        <v>97</v>
      </c>
      <c r="J98" s="2" t="s">
        <v>172</v>
      </c>
      <c r="K98" s="2" t="s">
        <v>98</v>
      </c>
      <c r="L98" s="2">
        <v>3</v>
      </c>
      <c r="M98" s="3">
        <v>510000</v>
      </c>
      <c r="N98" s="3">
        <v>1250000</v>
      </c>
      <c r="O98" s="2" t="s">
        <v>62</v>
      </c>
      <c r="P98" s="3">
        <v>510000</v>
      </c>
      <c r="Q98" s="3">
        <v>130000</v>
      </c>
      <c r="R98" s="3">
        <f>IF(V98="No",0,MAX(0,M98-Q98))</f>
        <v>380000</v>
      </c>
      <c r="S98" s="4">
        <v>11.45</v>
      </c>
      <c r="T98" s="2">
        <v>36</v>
      </c>
      <c r="U98" s="3">
        <f>IF(OR(R98&lt;=0,S98&lt;0,T98&lt;=0),"",IF(S98=0,R98/T98,-PMT(S98/1200,T98,R98)))</f>
        <v>12522</v>
      </c>
      <c r="V98" s="2" t="s">
        <v>63</v>
      </c>
      <c r="W98" s="5">
        <v>1493</v>
      </c>
      <c r="X98" s="2">
        <v>114</v>
      </c>
      <c r="Y98" s="4">
        <v>18.6</v>
      </c>
      <c r="Z98" s="5"/>
      <c r="AA98" s="6"/>
      <c r="AB98" s="2">
        <v>5</v>
      </c>
      <c r="AC98" s="2">
        <v>5</v>
      </c>
      <c r="AD98" s="2">
        <v>385</v>
      </c>
      <c r="AE98" s="2"/>
      <c r="AF98" s="2">
        <v>6</v>
      </c>
      <c r="AG98" s="2" t="s">
        <v>63</v>
      </c>
      <c r="AH98" s="2" t="s">
        <v>63</v>
      </c>
      <c r="AI98" s="2" t="s">
        <v>63</v>
      </c>
      <c r="AJ98" s="2" t="s">
        <v>64</v>
      </c>
      <c r="AK98" s="2" t="s">
        <v>65</v>
      </c>
      <c r="AL98" s="7">
        <v>107000</v>
      </c>
      <c r="AM98" s="2" t="s">
        <v>666</v>
      </c>
      <c r="AN98" s="2" t="s">
        <v>67</v>
      </c>
      <c r="AO98" s="2" t="s">
        <v>152</v>
      </c>
      <c r="AP98" s="2" t="s">
        <v>69</v>
      </c>
      <c r="AQ98" s="2" t="s">
        <v>176</v>
      </c>
      <c r="AR98" s="2" t="s">
        <v>71</v>
      </c>
      <c r="AS98" s="2" t="s">
        <v>63</v>
      </c>
      <c r="AT98" s="2" t="s">
        <v>62</v>
      </c>
      <c r="AU98" s="2" t="s">
        <v>62</v>
      </c>
      <c r="AV98" s="2" t="s">
        <v>391</v>
      </c>
      <c r="AW98" s="2" t="s">
        <v>667</v>
      </c>
      <c r="AX98" s="2" t="s">
        <v>75</v>
      </c>
      <c r="AY98" s="3">
        <v>11500</v>
      </c>
      <c r="AZ98" s="2" t="s">
        <v>76</v>
      </c>
      <c r="BA98" s="2"/>
    </row>
    <row r="99" ht="20" customHeight="1" spans="1:53" x14ac:dyDescent="0.25">
      <c r="A99" s="2" t="s">
        <v>668</v>
      </c>
      <c r="B99" s="2" t="s">
        <v>379</v>
      </c>
      <c r="C99" s="2" t="s">
        <v>394</v>
      </c>
      <c r="D99" s="2" t="s">
        <v>395</v>
      </c>
      <c r="E99" s="2" t="s">
        <v>396</v>
      </c>
      <c r="F99" s="2">
        <v>2025</v>
      </c>
      <c r="G99" s="2">
        <v>2025</v>
      </c>
      <c r="H99" s="2" t="s">
        <v>58</v>
      </c>
      <c r="I99" s="2" t="s">
        <v>125</v>
      </c>
      <c r="J99" s="2" t="s">
        <v>60</v>
      </c>
      <c r="K99" s="2" t="s">
        <v>161</v>
      </c>
      <c r="L99" s="2">
        <v>1</v>
      </c>
      <c r="M99" s="3">
        <v>1715000</v>
      </c>
      <c r="N99" s="3">
        <v>1895000</v>
      </c>
      <c r="O99" s="8" t="s">
        <v>63</v>
      </c>
      <c r="P99" s="3">
        <v>1630000</v>
      </c>
      <c r="Q99" s="3">
        <v>430000</v>
      </c>
      <c r="R99" s="3">
        <f>IF(V99="No",0,MAX(0,M99-Q99))</f>
        <v>1285000</v>
      </c>
      <c r="S99" s="4">
        <v>10.4</v>
      </c>
      <c r="T99" s="2">
        <v>48</v>
      </c>
      <c r="U99" s="3">
        <f>IF(OR(R99&lt;=0,S99&lt;0,T99&lt;=0),"",IF(S99=0,R99/T99,-PMT(S99/1200,T99,R99)))</f>
        <v>32838</v>
      </c>
      <c r="V99" s="2" t="s">
        <v>63</v>
      </c>
      <c r="W99" s="5">
        <v>1482</v>
      </c>
      <c r="X99" s="2">
        <v>158</v>
      </c>
      <c r="Y99" s="4">
        <v>16.8</v>
      </c>
      <c r="Z99" s="5"/>
      <c r="AA99" s="6"/>
      <c r="AB99" s="2">
        <v>7</v>
      </c>
      <c r="AC99" s="2">
        <v>5</v>
      </c>
      <c r="AD99" s="2">
        <v>216</v>
      </c>
      <c r="AE99" s="2" t="s">
        <v>183</v>
      </c>
      <c r="AF99" s="2">
        <v>6</v>
      </c>
      <c r="AG99" s="2" t="s">
        <v>63</v>
      </c>
      <c r="AH99" s="2" t="s">
        <v>63</v>
      </c>
      <c r="AI99" s="2" t="s">
        <v>63</v>
      </c>
      <c r="AJ99" s="2" t="s">
        <v>83</v>
      </c>
      <c r="AK99" s="2" t="s">
        <v>84</v>
      </c>
      <c r="AL99" s="5">
        <v>11400</v>
      </c>
      <c r="AM99" s="2" t="s">
        <v>449</v>
      </c>
      <c r="AN99" s="2" t="s">
        <v>164</v>
      </c>
      <c r="AO99" s="2" t="s">
        <v>165</v>
      </c>
      <c r="AP99" s="2" t="s">
        <v>69</v>
      </c>
      <c r="AQ99" s="2" t="s">
        <v>187</v>
      </c>
      <c r="AR99" s="2" t="s">
        <v>89</v>
      </c>
      <c r="AS99" s="2" t="s">
        <v>63</v>
      </c>
      <c r="AT99" s="2" t="s">
        <v>63</v>
      </c>
      <c r="AU99" s="2" t="s">
        <v>62</v>
      </c>
      <c r="AV99" s="2" t="s">
        <v>398</v>
      </c>
      <c r="AW99" s="2" t="s">
        <v>669</v>
      </c>
      <c r="AX99" s="2" t="s">
        <v>92</v>
      </c>
      <c r="AY99" s="3">
        <v>9900</v>
      </c>
      <c r="AZ99" s="2" t="s">
        <v>76</v>
      </c>
      <c r="BA99" s="2"/>
    </row>
    <row r="100" ht="20" customHeight="1" spans="1:53" x14ac:dyDescent="0.25">
      <c r="A100" s="9" t="s">
        <v>670</v>
      </c>
      <c r="B100" s="9" t="s">
        <v>379</v>
      </c>
      <c r="C100" s="9" t="s">
        <v>401</v>
      </c>
      <c r="D100" s="9" t="s">
        <v>402</v>
      </c>
      <c r="E100" s="9" t="s">
        <v>403</v>
      </c>
      <c r="F100" s="9">
        <v>2025</v>
      </c>
      <c r="G100" s="9">
        <v>2025</v>
      </c>
      <c r="H100" s="9" t="s">
        <v>58</v>
      </c>
      <c r="I100" s="9" t="s">
        <v>97</v>
      </c>
      <c r="J100" s="9" t="s">
        <v>210</v>
      </c>
      <c r="K100" s="9" t="s">
        <v>98</v>
      </c>
      <c r="L100" s="9">
        <v>1</v>
      </c>
      <c r="M100" s="10">
        <v>5820000</v>
      </c>
      <c r="N100" s="10">
        <v>6430000</v>
      </c>
      <c r="O100" s="8" t="s">
        <v>63</v>
      </c>
      <c r="P100" s="10">
        <v>5585000</v>
      </c>
      <c r="Q100" s="10">
        <v>1455000</v>
      </c>
      <c r="R100" s="10">
        <f>IF(V100="No",0,MAX(0,M100-Q100))</f>
        <v>4365000</v>
      </c>
      <c r="S100" s="11">
        <v>10.4</v>
      </c>
      <c r="T100" s="9">
        <v>60</v>
      </c>
      <c r="U100" s="10">
        <f>IF(OR(R100&lt;=0,S100&lt;0,T100&lt;=0),"",IF(S100=0,R100/T100,-PMT(S100/1200,T100,R100)))</f>
        <v>93605</v>
      </c>
      <c r="V100" s="9" t="s">
        <v>63</v>
      </c>
      <c r="W100" s="12"/>
      <c r="X100" s="9">
        <v>321</v>
      </c>
      <c r="Y100" s="11"/>
      <c r="Z100" s="12">
        <v>708</v>
      </c>
      <c r="AA100" s="13">
        <v>77.4</v>
      </c>
      <c r="AB100" s="9">
        <v>5</v>
      </c>
      <c r="AC100" s="9">
        <v>5</v>
      </c>
      <c r="AD100" s="9">
        <v>490</v>
      </c>
      <c r="AE100" s="9" t="s">
        <v>211</v>
      </c>
      <c r="AF100" s="9">
        <v>8</v>
      </c>
      <c r="AG100" s="9" t="s">
        <v>63</v>
      </c>
      <c r="AH100" s="9" t="s">
        <v>63</v>
      </c>
      <c r="AI100" s="9" t="s">
        <v>63</v>
      </c>
      <c r="AJ100" s="9" t="s">
        <v>100</v>
      </c>
      <c r="AK100" s="9" t="s">
        <v>84</v>
      </c>
      <c r="AL100" s="12">
        <v>10700</v>
      </c>
      <c r="AM100" s="9" t="s">
        <v>671</v>
      </c>
      <c r="AN100" s="9" t="s">
        <v>174</v>
      </c>
      <c r="AO100" s="9" t="s">
        <v>175</v>
      </c>
      <c r="AP100" s="9" t="s">
        <v>69</v>
      </c>
      <c r="AQ100" s="9" t="s">
        <v>194</v>
      </c>
      <c r="AR100" s="9" t="s">
        <v>89</v>
      </c>
      <c r="AS100" s="9" t="s">
        <v>62</v>
      </c>
      <c r="AT100" s="9" t="s">
        <v>63</v>
      </c>
      <c r="AU100" s="9" t="s">
        <v>62</v>
      </c>
      <c r="AV100" s="9" t="s">
        <v>405</v>
      </c>
      <c r="AW100" s="9" t="s">
        <v>672</v>
      </c>
      <c r="AX100" s="9" t="s">
        <v>197</v>
      </c>
      <c r="AY100" s="10">
        <v>7500</v>
      </c>
      <c r="AZ100" s="9" t="s">
        <v>76</v>
      </c>
      <c r="BA100" s="9"/>
    </row>
    <row r="101" ht="20" customHeight="1" spans="1:53" x14ac:dyDescent="0.25">
      <c r="A101" s="2" t="s">
        <v>673</v>
      </c>
      <c r="B101" s="2" t="s">
        <v>408</v>
      </c>
      <c r="C101" s="2" t="s">
        <v>409</v>
      </c>
      <c r="D101" s="2" t="s">
        <v>410</v>
      </c>
      <c r="E101" s="2" t="s">
        <v>411</v>
      </c>
      <c r="F101" s="2">
        <v>2015</v>
      </c>
      <c r="G101" s="2">
        <v>2015</v>
      </c>
      <c r="H101" s="2" t="s">
        <v>58</v>
      </c>
      <c r="I101" s="2" t="s">
        <v>97</v>
      </c>
      <c r="J101" s="2" t="s">
        <v>60</v>
      </c>
      <c r="K101" s="2" t="s">
        <v>137</v>
      </c>
      <c r="L101" s="2">
        <v>2</v>
      </c>
      <c r="M101" s="3">
        <v>245000</v>
      </c>
      <c r="N101" s="3">
        <v>815000</v>
      </c>
      <c r="O101" s="2" t="s">
        <v>62</v>
      </c>
      <c r="P101" s="3">
        <v>245000</v>
      </c>
      <c r="Q101" s="3">
        <v>60000</v>
      </c>
      <c r="R101" s="3">
        <f>IF(V101="No",0,MAX(0,M101-Q101))</f>
        <v>0</v>
      </c>
      <c r="S101" s="4">
        <v>0</v>
      </c>
      <c r="T101" s="2">
        <v>0</v>
      </c>
      <c r="U101" s="3" t="str">
        <f>IF(OR(R101&lt;=0,S101&lt;0,T101&lt;=0),"",IF(S101=0,R101/T101,-PMT(S101/1200,T101,R101)))</f>
        <v/>
      </c>
      <c r="V101" s="2" t="s">
        <v>62</v>
      </c>
      <c r="W101" s="5">
        <v>999</v>
      </c>
      <c r="X101" s="2">
        <v>99</v>
      </c>
      <c r="Y101" s="4">
        <v>18.24</v>
      </c>
      <c r="Z101" s="5"/>
      <c r="AA101" s="6"/>
      <c r="AB101" s="2">
        <v>5</v>
      </c>
      <c r="AC101" s="2">
        <v>5</v>
      </c>
      <c r="AD101" s="2">
        <v>405</v>
      </c>
      <c r="AE101" s="2" t="s">
        <v>99</v>
      </c>
      <c r="AF101" s="2">
        <v>4</v>
      </c>
      <c r="AG101" s="2" t="s">
        <v>63</v>
      </c>
      <c r="AH101" s="2" t="s">
        <v>63</v>
      </c>
      <c r="AI101" s="2" t="s">
        <v>63</v>
      </c>
      <c r="AJ101" s="2" t="s">
        <v>113</v>
      </c>
      <c r="AK101" s="2" t="s">
        <v>162</v>
      </c>
      <c r="AL101" s="7">
        <v>93300</v>
      </c>
      <c r="AM101" s="2" t="s">
        <v>463</v>
      </c>
      <c r="AN101" s="2" t="s">
        <v>185</v>
      </c>
      <c r="AO101" s="2" t="s">
        <v>186</v>
      </c>
      <c r="AP101" s="2" t="s">
        <v>69</v>
      </c>
      <c r="AQ101" s="2" t="s">
        <v>203</v>
      </c>
      <c r="AR101" s="2" t="s">
        <v>71</v>
      </c>
      <c r="AS101" s="2" t="s">
        <v>63</v>
      </c>
      <c r="AT101" s="2" t="s">
        <v>62</v>
      </c>
      <c r="AU101" s="2" t="s">
        <v>62</v>
      </c>
      <c r="AV101" s="2" t="s">
        <v>413</v>
      </c>
      <c r="AW101" s="2" t="s">
        <v>674</v>
      </c>
      <c r="AX101" s="2" t="s">
        <v>120</v>
      </c>
      <c r="AY101" s="3">
        <v>10400</v>
      </c>
      <c r="AZ101" s="2" t="s">
        <v>76</v>
      </c>
      <c r="BA101" s="2"/>
    </row>
    <row r="102" ht="20" customHeight="1" spans="1:53" x14ac:dyDescent="0.25">
      <c r="A102" s="2" t="s">
        <v>675</v>
      </c>
      <c r="B102" s="2" t="s">
        <v>408</v>
      </c>
      <c r="C102" s="2" t="s">
        <v>416</v>
      </c>
      <c r="D102" s="2" t="s">
        <v>417</v>
      </c>
      <c r="E102" s="2" t="s">
        <v>418</v>
      </c>
      <c r="F102" s="2">
        <v>2022</v>
      </c>
      <c r="G102" s="2">
        <v>2023</v>
      </c>
      <c r="H102" s="2" t="s">
        <v>58</v>
      </c>
      <c r="I102" s="2" t="s">
        <v>125</v>
      </c>
      <c r="J102" s="2" t="s">
        <v>60</v>
      </c>
      <c r="K102" s="2" t="s">
        <v>81</v>
      </c>
      <c r="L102" s="2">
        <v>1</v>
      </c>
      <c r="M102" s="3">
        <v>540000</v>
      </c>
      <c r="N102" s="3">
        <v>805000</v>
      </c>
      <c r="O102" s="8" t="s">
        <v>63</v>
      </c>
      <c r="P102" s="3">
        <v>515000</v>
      </c>
      <c r="Q102" s="3">
        <v>135000</v>
      </c>
      <c r="R102" s="3">
        <f>IF(V102="No",0,MAX(0,M102-Q102))</f>
        <v>405000</v>
      </c>
      <c r="S102" s="4">
        <v>10.85</v>
      </c>
      <c r="T102" s="2">
        <v>48</v>
      </c>
      <c r="U102" s="3">
        <f>IF(OR(R102&lt;=0,S102&lt;0,T102&lt;=0),"",IF(S102=0,R102/T102,-PMT(S102/1200,T102,R102)))</f>
        <v>10438</v>
      </c>
      <c r="V102" s="2" t="s">
        <v>63</v>
      </c>
      <c r="W102" s="5">
        <v>999</v>
      </c>
      <c r="X102" s="2">
        <v>71</v>
      </c>
      <c r="Y102" s="4">
        <v>18.2</v>
      </c>
      <c r="Z102" s="5"/>
      <c r="AA102" s="6"/>
      <c r="AB102" s="2">
        <v>7</v>
      </c>
      <c r="AC102" s="2">
        <v>5</v>
      </c>
      <c r="AD102" s="2">
        <v>84</v>
      </c>
      <c r="AE102" s="2" t="s">
        <v>99</v>
      </c>
      <c r="AF102" s="2">
        <v>4</v>
      </c>
      <c r="AG102" s="2" t="s">
        <v>63</v>
      </c>
      <c r="AH102" s="2" t="s">
        <v>63</v>
      </c>
      <c r="AI102" s="2" t="s">
        <v>63</v>
      </c>
      <c r="AJ102" s="2" t="s">
        <v>64</v>
      </c>
      <c r="AK102" s="2" t="s">
        <v>101</v>
      </c>
      <c r="AL102" s="5">
        <v>39700</v>
      </c>
      <c r="AM102" s="2" t="s">
        <v>676</v>
      </c>
      <c r="AN102" s="2" t="s">
        <v>67</v>
      </c>
      <c r="AO102" s="2" t="s">
        <v>68</v>
      </c>
      <c r="AP102" s="2" t="s">
        <v>128</v>
      </c>
      <c r="AQ102" s="2" t="s">
        <v>213</v>
      </c>
      <c r="AR102" s="2" t="s">
        <v>89</v>
      </c>
      <c r="AS102" s="2" t="s">
        <v>63</v>
      </c>
      <c r="AT102" s="2" t="s">
        <v>63</v>
      </c>
      <c r="AU102" s="2" t="s">
        <v>62</v>
      </c>
      <c r="AV102" s="2" t="s">
        <v>420</v>
      </c>
      <c r="AW102" s="2" t="s">
        <v>677</v>
      </c>
      <c r="AX102" s="2" t="s">
        <v>92</v>
      </c>
      <c r="AY102" s="3">
        <v>7900</v>
      </c>
      <c r="AZ102" s="2" t="s">
        <v>76</v>
      </c>
      <c r="BA102" s="2"/>
    </row>
    <row r="103" ht="20" customHeight="1" spans="1:53" x14ac:dyDescent="0.25">
      <c r="A103" s="2" t="s">
        <v>678</v>
      </c>
      <c r="B103" s="2" t="s">
        <v>408</v>
      </c>
      <c r="C103" s="2" t="s">
        <v>423</v>
      </c>
      <c r="D103" s="2" t="s">
        <v>424</v>
      </c>
      <c r="E103" s="2" t="s">
        <v>425</v>
      </c>
      <c r="F103" s="2">
        <v>2017</v>
      </c>
      <c r="G103" s="2">
        <v>2017</v>
      </c>
      <c r="H103" s="2" t="s">
        <v>58</v>
      </c>
      <c r="I103" s="2" t="s">
        <v>59</v>
      </c>
      <c r="J103" s="2" t="s">
        <v>60</v>
      </c>
      <c r="K103" s="2" t="s">
        <v>81</v>
      </c>
      <c r="L103" s="2">
        <v>2</v>
      </c>
      <c r="M103" s="3">
        <v>185000</v>
      </c>
      <c r="N103" s="3">
        <v>500000</v>
      </c>
      <c r="O103" s="8" t="s">
        <v>63</v>
      </c>
      <c r="P103" s="3">
        <v>180000</v>
      </c>
      <c r="Q103" s="3">
        <v>45000</v>
      </c>
      <c r="R103" s="3">
        <f>IF(V103="No",0,MAX(0,M103-Q103))</f>
        <v>140000</v>
      </c>
      <c r="S103" s="4">
        <v>11.6</v>
      </c>
      <c r="T103" s="2">
        <v>60</v>
      </c>
      <c r="U103" s="3">
        <f>IF(OR(R103&lt;=0,S103&lt;0,T103&lt;=0),"",IF(S103=0,R103/T103,-PMT(S103/1200,T103,R103)))</f>
        <v>3086</v>
      </c>
      <c r="V103" s="2" t="s">
        <v>63</v>
      </c>
      <c r="W103" s="5">
        <v>999</v>
      </c>
      <c r="X103" s="2">
        <v>67</v>
      </c>
      <c r="Y103" s="4">
        <v>22.3</v>
      </c>
      <c r="Z103" s="5"/>
      <c r="AA103" s="6"/>
      <c r="AB103" s="2">
        <v>5</v>
      </c>
      <c r="AC103" s="2">
        <v>5</v>
      </c>
      <c r="AD103" s="2">
        <v>279</v>
      </c>
      <c r="AE103" s="2"/>
      <c r="AF103" s="2">
        <v>2</v>
      </c>
      <c r="AG103" s="2" t="s">
        <v>63</v>
      </c>
      <c r="AH103" s="2" t="s">
        <v>63</v>
      </c>
      <c r="AI103" s="2" t="s">
        <v>63</v>
      </c>
      <c r="AJ103" s="2" t="s">
        <v>83</v>
      </c>
      <c r="AK103" s="2" t="s">
        <v>65</v>
      </c>
      <c r="AL103" s="7">
        <v>98100</v>
      </c>
      <c r="AM103" s="2" t="s">
        <v>679</v>
      </c>
      <c r="AN103" s="2" t="s">
        <v>86</v>
      </c>
      <c r="AO103" s="2" t="s">
        <v>87</v>
      </c>
      <c r="AP103" s="2" t="s">
        <v>141</v>
      </c>
      <c r="AQ103" s="2" t="s">
        <v>221</v>
      </c>
      <c r="AR103" s="2" t="s">
        <v>89</v>
      </c>
      <c r="AS103" s="2" t="s">
        <v>63</v>
      </c>
      <c r="AT103" s="2" t="s">
        <v>62</v>
      </c>
      <c r="AU103" s="2" t="s">
        <v>62</v>
      </c>
      <c r="AV103" s="2" t="s">
        <v>427</v>
      </c>
      <c r="AW103" s="2" t="s">
        <v>680</v>
      </c>
      <c r="AX103" s="2" t="s">
        <v>120</v>
      </c>
      <c r="AY103" s="3">
        <v>7300</v>
      </c>
      <c r="AZ103" s="2" t="s">
        <v>76</v>
      </c>
      <c r="BA103" s="2"/>
    </row>
    <row r="104" ht="20" customHeight="1" spans="1:53" x14ac:dyDescent="0.25">
      <c r="A104" s="2" t="s">
        <v>681</v>
      </c>
      <c r="B104" s="2" t="s">
        <v>430</v>
      </c>
      <c r="C104" s="2" t="s">
        <v>431</v>
      </c>
      <c r="D104" s="2" t="s">
        <v>432</v>
      </c>
      <c r="E104" s="2" t="s">
        <v>433</v>
      </c>
      <c r="F104" s="2">
        <v>2024</v>
      </c>
      <c r="G104" s="2">
        <v>2024</v>
      </c>
      <c r="H104" s="2" t="s">
        <v>58</v>
      </c>
      <c r="I104" s="2" t="s">
        <v>149</v>
      </c>
      <c r="J104" s="2" t="s">
        <v>60</v>
      </c>
      <c r="K104" s="2" t="s">
        <v>161</v>
      </c>
      <c r="L104" s="2">
        <v>1</v>
      </c>
      <c r="M104" s="3">
        <v>1510000</v>
      </c>
      <c r="N104" s="3">
        <v>1845000</v>
      </c>
      <c r="O104" s="2" t="s">
        <v>62</v>
      </c>
      <c r="P104" s="3">
        <v>1510000</v>
      </c>
      <c r="Q104" s="3">
        <v>380000</v>
      </c>
      <c r="R104" s="3">
        <f>IF(V104="No",0,MAX(0,M104-Q104))</f>
        <v>1130000</v>
      </c>
      <c r="S104" s="4">
        <v>10.55</v>
      </c>
      <c r="T104" s="2">
        <v>36</v>
      </c>
      <c r="U104" s="3">
        <f>IF(OR(R104&lt;=0,S104&lt;0,T104&lt;=0),"",IF(S104=0,R104/T104,-PMT(S104/1200,T104,R104)))</f>
        <v>36754</v>
      </c>
      <c r="V104" s="2" t="s">
        <v>63</v>
      </c>
      <c r="W104" s="5">
        <v>1498</v>
      </c>
      <c r="X104" s="2">
        <v>148</v>
      </c>
      <c r="Y104" s="4">
        <v>19.62</v>
      </c>
      <c r="Z104" s="5"/>
      <c r="AA104" s="6"/>
      <c r="AB104" s="2">
        <v>5</v>
      </c>
      <c r="AC104" s="2">
        <v>4</v>
      </c>
      <c r="AD104" s="2">
        <v>521</v>
      </c>
      <c r="AE104" s="2" t="s">
        <v>150</v>
      </c>
      <c r="AF104" s="2">
        <v>6</v>
      </c>
      <c r="AG104" s="2" t="s">
        <v>63</v>
      </c>
      <c r="AH104" s="2" t="s">
        <v>63</v>
      </c>
      <c r="AI104" s="2" t="s">
        <v>63</v>
      </c>
      <c r="AJ104" s="2" t="s">
        <v>100</v>
      </c>
      <c r="AK104" s="2" t="s">
        <v>84</v>
      </c>
      <c r="AL104" s="5">
        <v>16800</v>
      </c>
      <c r="AM104" s="2" t="s">
        <v>682</v>
      </c>
      <c r="AN104" s="2" t="s">
        <v>103</v>
      </c>
      <c r="AO104" s="2" t="s">
        <v>104</v>
      </c>
      <c r="AP104" s="2" t="s">
        <v>69</v>
      </c>
      <c r="AQ104" s="2" t="s">
        <v>231</v>
      </c>
      <c r="AR104" s="2" t="s">
        <v>71</v>
      </c>
      <c r="AS104" s="2" t="s">
        <v>63</v>
      </c>
      <c r="AT104" s="2" t="s">
        <v>63</v>
      </c>
      <c r="AU104" s="2" t="s">
        <v>62</v>
      </c>
      <c r="AV104" s="2" t="s">
        <v>435</v>
      </c>
      <c r="AW104" s="2" t="s">
        <v>683</v>
      </c>
      <c r="AX104" s="2" t="s">
        <v>197</v>
      </c>
      <c r="AY104" s="3">
        <v>11700</v>
      </c>
      <c r="AZ104" s="2" t="s">
        <v>76</v>
      </c>
      <c r="BA104" s="2"/>
    </row>
    <row r="105" ht="20" customHeight="1" spans="1:53" x14ac:dyDescent="0.25">
      <c r="A105" s="2" t="s">
        <v>684</v>
      </c>
      <c r="B105" s="2" t="s">
        <v>430</v>
      </c>
      <c r="C105" s="2" t="s">
        <v>438</v>
      </c>
      <c r="D105" s="2" t="s">
        <v>439</v>
      </c>
      <c r="E105" s="2" t="s">
        <v>440</v>
      </c>
      <c r="F105" s="2">
        <v>2019</v>
      </c>
      <c r="G105" s="2">
        <v>2019</v>
      </c>
      <c r="H105" s="2" t="s">
        <v>58</v>
      </c>
      <c r="I105" s="2" t="s">
        <v>97</v>
      </c>
      <c r="J105" s="2" t="s">
        <v>60</v>
      </c>
      <c r="K105" s="2" t="s">
        <v>161</v>
      </c>
      <c r="L105" s="2">
        <v>1</v>
      </c>
      <c r="M105" s="3">
        <v>810000</v>
      </c>
      <c r="N105" s="3">
        <v>1630000</v>
      </c>
      <c r="O105" s="8" t="s">
        <v>63</v>
      </c>
      <c r="P105" s="3">
        <v>770000</v>
      </c>
      <c r="Q105" s="3">
        <v>205000</v>
      </c>
      <c r="R105" s="3">
        <f>IF(V105="No",0,MAX(0,M105-Q105))</f>
        <v>605000</v>
      </c>
      <c r="S105" s="4">
        <v>11.3</v>
      </c>
      <c r="T105" s="2">
        <v>48</v>
      </c>
      <c r="U105" s="3">
        <f>IF(OR(R105&lt;=0,S105&lt;0,T105&lt;=0),"",IF(S105=0,R105/T105,-PMT(S105/1200,T105,R105)))</f>
        <v>15725</v>
      </c>
      <c r="V105" s="2" t="s">
        <v>63</v>
      </c>
      <c r="W105" s="5">
        <v>1498</v>
      </c>
      <c r="X105" s="2">
        <v>148</v>
      </c>
      <c r="Y105" s="4">
        <v>19.01</v>
      </c>
      <c r="Z105" s="5"/>
      <c r="AA105" s="6"/>
      <c r="AB105" s="2">
        <v>5</v>
      </c>
      <c r="AC105" s="2">
        <v>5</v>
      </c>
      <c r="AD105" s="2">
        <v>385</v>
      </c>
      <c r="AE105" s="2" t="s">
        <v>150</v>
      </c>
      <c r="AF105" s="2">
        <v>6</v>
      </c>
      <c r="AG105" s="2" t="s">
        <v>63</v>
      </c>
      <c r="AH105" s="2" t="s">
        <v>63</v>
      </c>
      <c r="AI105" s="2" t="s">
        <v>63</v>
      </c>
      <c r="AJ105" s="2" t="s">
        <v>113</v>
      </c>
      <c r="AK105" s="2" t="s">
        <v>162</v>
      </c>
      <c r="AL105" s="5">
        <v>71900</v>
      </c>
      <c r="AM105" s="2" t="s">
        <v>493</v>
      </c>
      <c r="AN105" s="2" t="s">
        <v>115</v>
      </c>
      <c r="AO105" s="2" t="s">
        <v>116</v>
      </c>
      <c r="AP105" s="2" t="s">
        <v>69</v>
      </c>
      <c r="AQ105" s="2" t="s">
        <v>239</v>
      </c>
      <c r="AR105" s="2" t="s">
        <v>89</v>
      </c>
      <c r="AS105" s="2" t="s">
        <v>63</v>
      </c>
      <c r="AT105" s="2" t="s">
        <v>62</v>
      </c>
      <c r="AU105" s="2" t="s">
        <v>62</v>
      </c>
      <c r="AV105" s="2" t="s">
        <v>442</v>
      </c>
      <c r="AW105" s="2" t="s">
        <v>685</v>
      </c>
      <c r="AX105" s="2" t="s">
        <v>197</v>
      </c>
      <c r="AY105" s="3">
        <v>14100</v>
      </c>
      <c r="AZ105" s="2" t="s">
        <v>76</v>
      </c>
      <c r="BA105" s="2"/>
    </row>
    <row r="106" ht="20" customHeight="1" spans="1:53" x14ac:dyDescent="0.25">
      <c r="A106" s="2" t="s">
        <v>686</v>
      </c>
      <c r="B106" s="2" t="s">
        <v>445</v>
      </c>
      <c r="C106" s="2" t="s">
        <v>446</v>
      </c>
      <c r="D106" s="2" t="s">
        <v>447</v>
      </c>
      <c r="E106" s="2" t="s">
        <v>448</v>
      </c>
      <c r="F106" s="2">
        <v>2026</v>
      </c>
      <c r="G106" s="2">
        <v>2026</v>
      </c>
      <c r="H106" s="2" t="s">
        <v>171</v>
      </c>
      <c r="I106" s="2" t="s">
        <v>149</v>
      </c>
      <c r="J106" s="2" t="s">
        <v>60</v>
      </c>
      <c r="K106" s="2" t="s">
        <v>161</v>
      </c>
      <c r="L106" s="2">
        <v>0</v>
      </c>
      <c r="M106" s="3">
        <v>1869000</v>
      </c>
      <c r="N106" s="3">
        <v>1870000</v>
      </c>
      <c r="O106" s="8" t="s">
        <v>63</v>
      </c>
      <c r="P106" s="3">
        <v>1795000</v>
      </c>
      <c r="Q106" s="3">
        <v>375000</v>
      </c>
      <c r="R106" s="3">
        <f>IF(V106="No",0,MAX(0,M106-Q106))</f>
        <v>1494000</v>
      </c>
      <c r="S106" s="4">
        <v>8.95</v>
      </c>
      <c r="T106" s="2">
        <v>84</v>
      </c>
      <c r="U106" s="3">
        <f>IF(OR(R106&lt;=0,S106&lt;0,T106&lt;=0),"",IF(S106=0,R106/T106,-PMT(S106/1200,T106,R106)))</f>
        <v>23999</v>
      </c>
      <c r="V106" s="2" t="s">
        <v>63</v>
      </c>
      <c r="W106" s="5">
        <v>1498</v>
      </c>
      <c r="X106" s="2">
        <v>148</v>
      </c>
      <c r="Y106" s="4">
        <v>19.36</v>
      </c>
      <c r="Z106" s="5"/>
      <c r="AA106" s="6"/>
      <c r="AB106" s="2">
        <v>5</v>
      </c>
      <c r="AC106" s="2">
        <v>4</v>
      </c>
      <c r="AD106" s="2">
        <v>521</v>
      </c>
      <c r="AE106" s="2" t="s">
        <v>150</v>
      </c>
      <c r="AF106" s="2">
        <v>6</v>
      </c>
      <c r="AG106" s="2" t="s">
        <v>63</v>
      </c>
      <c r="AH106" s="2" t="s">
        <v>63</v>
      </c>
      <c r="AI106" s="2" t="s">
        <v>63</v>
      </c>
      <c r="AJ106" s="2" t="s">
        <v>64</v>
      </c>
      <c r="AK106" s="2" t="s">
        <v>171</v>
      </c>
      <c r="AL106" s="5">
        <v>29</v>
      </c>
      <c r="AM106" s="2" t="s">
        <v>687</v>
      </c>
      <c r="AN106" s="2" t="s">
        <v>127</v>
      </c>
      <c r="AO106" s="2" t="s">
        <v>127</v>
      </c>
      <c r="AP106" s="2" t="s">
        <v>69</v>
      </c>
      <c r="AQ106" s="2" t="s">
        <v>247</v>
      </c>
      <c r="AR106" s="2" t="s">
        <v>89</v>
      </c>
      <c r="AS106" s="2" t="s">
        <v>63</v>
      </c>
      <c r="AT106" s="2" t="s">
        <v>63</v>
      </c>
      <c r="AU106" s="2" t="s">
        <v>62</v>
      </c>
      <c r="AV106" s="2" t="s">
        <v>450</v>
      </c>
      <c r="AW106" s="2" t="s">
        <v>688</v>
      </c>
      <c r="AX106" s="2" t="s">
        <v>197</v>
      </c>
      <c r="AY106" s="3">
        <v>10600</v>
      </c>
      <c r="AZ106" s="2" t="s">
        <v>76</v>
      </c>
      <c r="BA106" s="2"/>
    </row>
    <row r="107" ht="20" customHeight="1" spans="1:53" x14ac:dyDescent="0.25">
      <c r="A107" s="2" t="s">
        <v>689</v>
      </c>
      <c r="B107" s="2" t="s">
        <v>445</v>
      </c>
      <c r="C107" s="2" t="s">
        <v>453</v>
      </c>
      <c r="D107" s="2" t="s">
        <v>454</v>
      </c>
      <c r="E107" s="2" t="s">
        <v>455</v>
      </c>
      <c r="F107" s="2">
        <v>2021</v>
      </c>
      <c r="G107" s="2">
        <v>2022</v>
      </c>
      <c r="H107" s="2" t="s">
        <v>58</v>
      </c>
      <c r="I107" s="2" t="s">
        <v>97</v>
      </c>
      <c r="J107" s="2" t="s">
        <v>60</v>
      </c>
      <c r="K107" s="2" t="s">
        <v>161</v>
      </c>
      <c r="L107" s="2">
        <v>2</v>
      </c>
      <c r="M107" s="3">
        <v>1090000</v>
      </c>
      <c r="N107" s="3">
        <v>1795000</v>
      </c>
      <c r="O107" s="2" t="s">
        <v>62</v>
      </c>
      <c r="P107" s="3">
        <v>1090000</v>
      </c>
      <c r="Q107" s="3">
        <v>275000</v>
      </c>
      <c r="R107" s="3">
        <f>IF(V107="No",0,MAX(0,M107-Q107))</f>
        <v>815000</v>
      </c>
      <c r="S107" s="4">
        <v>11</v>
      </c>
      <c r="T107" s="2">
        <v>36</v>
      </c>
      <c r="U107" s="3">
        <f>IF(OR(R107&lt;=0,S107&lt;0,T107&lt;=0),"",IF(S107=0,R107/T107,-PMT(S107/1200,T107,R107)))</f>
        <v>26682</v>
      </c>
      <c r="V107" s="2" t="s">
        <v>63</v>
      </c>
      <c r="W107" s="5">
        <v>1498</v>
      </c>
      <c r="X107" s="2">
        <v>148</v>
      </c>
      <c r="Y107" s="4">
        <v>18.86</v>
      </c>
      <c r="Z107" s="5"/>
      <c r="AA107" s="6"/>
      <c r="AB107" s="2">
        <v>5</v>
      </c>
      <c r="AC107" s="2">
        <v>5</v>
      </c>
      <c r="AD107" s="2">
        <v>385</v>
      </c>
      <c r="AE107" s="2" t="s">
        <v>150</v>
      </c>
      <c r="AF107" s="2">
        <v>6</v>
      </c>
      <c r="AG107" s="2" t="s">
        <v>63</v>
      </c>
      <c r="AH107" s="2" t="s">
        <v>63</v>
      </c>
      <c r="AI107" s="2" t="s">
        <v>63</v>
      </c>
      <c r="AJ107" s="2" t="s">
        <v>83</v>
      </c>
      <c r="AK107" s="2" t="s">
        <v>101</v>
      </c>
      <c r="AL107" s="5">
        <v>44100</v>
      </c>
      <c r="AM107" s="2" t="s">
        <v>509</v>
      </c>
      <c r="AN107" s="2" t="s">
        <v>115</v>
      </c>
      <c r="AO107" s="2" t="s">
        <v>140</v>
      </c>
      <c r="AP107" s="2" t="s">
        <v>69</v>
      </c>
      <c r="AQ107" s="2" t="s">
        <v>255</v>
      </c>
      <c r="AR107" s="2" t="s">
        <v>71</v>
      </c>
      <c r="AS107" s="2" t="s">
        <v>62</v>
      </c>
      <c r="AT107" s="2" t="s">
        <v>62</v>
      </c>
      <c r="AU107" s="2" t="s">
        <v>72</v>
      </c>
      <c r="AV107" s="2" t="s">
        <v>457</v>
      </c>
      <c r="AW107" s="2" t="s">
        <v>690</v>
      </c>
      <c r="AX107" s="2" t="s">
        <v>197</v>
      </c>
      <c r="AY107" s="3">
        <v>13100</v>
      </c>
      <c r="AZ107" s="2" t="s">
        <v>76</v>
      </c>
      <c r="BA107" s="2"/>
    </row>
    <row r="108" ht="20" customHeight="1" spans="1:53" x14ac:dyDescent="0.25">
      <c r="A108" s="2" t="s">
        <v>691</v>
      </c>
      <c r="B108" s="2" t="s">
        <v>445</v>
      </c>
      <c r="C108" s="2" t="s">
        <v>460</v>
      </c>
      <c r="D108" s="2" t="s">
        <v>461</v>
      </c>
      <c r="E108" s="2" t="s">
        <v>462</v>
      </c>
      <c r="F108" s="2">
        <v>2025</v>
      </c>
      <c r="G108" s="2">
        <v>2025</v>
      </c>
      <c r="H108" s="2" t="s">
        <v>58</v>
      </c>
      <c r="I108" s="2" t="s">
        <v>97</v>
      </c>
      <c r="J108" s="2" t="s">
        <v>60</v>
      </c>
      <c r="K108" s="2" t="s">
        <v>98</v>
      </c>
      <c r="L108" s="2">
        <v>1</v>
      </c>
      <c r="M108" s="3">
        <v>1270000</v>
      </c>
      <c r="N108" s="3">
        <v>1405000</v>
      </c>
      <c r="O108" s="8" t="s">
        <v>63</v>
      </c>
      <c r="P108" s="3">
        <v>1205000</v>
      </c>
      <c r="Q108" s="3">
        <v>320000</v>
      </c>
      <c r="R108" s="3">
        <f>IF(V108="No",0,MAX(0,M108-Q108))</f>
        <v>950000</v>
      </c>
      <c r="S108" s="4">
        <v>10.4</v>
      </c>
      <c r="T108" s="2">
        <v>48</v>
      </c>
      <c r="U108" s="3">
        <f>IF(OR(R108&lt;=0,S108&lt;0,T108&lt;=0),"",IF(S108=0,R108/T108,-PMT(S108/1200,T108,R108)))</f>
        <v>24277</v>
      </c>
      <c r="V108" s="2" t="s">
        <v>63</v>
      </c>
      <c r="W108" s="5">
        <v>999</v>
      </c>
      <c r="X108" s="2">
        <v>114</v>
      </c>
      <c r="Y108" s="4">
        <v>19.05</v>
      </c>
      <c r="Z108" s="5"/>
      <c r="AA108" s="6"/>
      <c r="AB108" s="2">
        <v>5</v>
      </c>
      <c r="AC108" s="2">
        <v>5</v>
      </c>
      <c r="AD108" s="2">
        <v>446</v>
      </c>
      <c r="AE108" s="2" t="s">
        <v>138</v>
      </c>
      <c r="AF108" s="2">
        <v>6</v>
      </c>
      <c r="AG108" s="2" t="s">
        <v>63</v>
      </c>
      <c r="AH108" s="2" t="s">
        <v>63</v>
      </c>
      <c r="AI108" s="2" t="s">
        <v>63</v>
      </c>
      <c r="AJ108" s="2" t="s">
        <v>100</v>
      </c>
      <c r="AK108" s="2" t="s">
        <v>84</v>
      </c>
      <c r="AL108" s="5">
        <v>9200</v>
      </c>
      <c r="AM108" s="2" t="s">
        <v>692</v>
      </c>
      <c r="AN108" s="2" t="s">
        <v>67</v>
      </c>
      <c r="AO108" s="2" t="s">
        <v>152</v>
      </c>
      <c r="AP108" s="2" t="s">
        <v>128</v>
      </c>
      <c r="AQ108" s="2" t="s">
        <v>263</v>
      </c>
      <c r="AR108" s="2" t="s">
        <v>89</v>
      </c>
      <c r="AS108" s="2" t="s">
        <v>63</v>
      </c>
      <c r="AT108" s="2" t="s">
        <v>63</v>
      </c>
      <c r="AU108" s="2" t="s">
        <v>62</v>
      </c>
      <c r="AV108" s="2" t="s">
        <v>464</v>
      </c>
      <c r="AW108" s="2" t="s">
        <v>693</v>
      </c>
      <c r="AX108" s="2" t="s">
        <v>92</v>
      </c>
      <c r="AY108" s="3">
        <v>9200</v>
      </c>
      <c r="AZ108" s="2" t="s">
        <v>76</v>
      </c>
      <c r="BA108" s="2"/>
    </row>
    <row r="109" ht="20" customHeight="1" spans="1:53" x14ac:dyDescent="0.25">
      <c r="A109" s="2" t="s">
        <v>694</v>
      </c>
      <c r="B109" s="2" t="s">
        <v>467</v>
      </c>
      <c r="C109" s="2" t="s">
        <v>468</v>
      </c>
      <c r="D109" s="2" t="s">
        <v>469</v>
      </c>
      <c r="E109" s="2" t="s">
        <v>470</v>
      </c>
      <c r="F109" s="2">
        <v>2023</v>
      </c>
      <c r="G109" s="2">
        <v>2023</v>
      </c>
      <c r="H109" s="2" t="s">
        <v>58</v>
      </c>
      <c r="I109" s="2" t="s">
        <v>97</v>
      </c>
      <c r="J109" s="2" t="s">
        <v>60</v>
      </c>
      <c r="K109" s="2" t="s">
        <v>137</v>
      </c>
      <c r="L109" s="2">
        <v>1</v>
      </c>
      <c r="M109" s="3">
        <v>1485000</v>
      </c>
      <c r="N109" s="3">
        <v>2005000</v>
      </c>
      <c r="O109" s="8" t="s">
        <v>63</v>
      </c>
      <c r="P109" s="3">
        <v>1425000</v>
      </c>
      <c r="Q109" s="3">
        <v>370000</v>
      </c>
      <c r="R109" s="3">
        <f>IF(V109="No",0,MAX(0,M109-Q109))</f>
        <v>1115000</v>
      </c>
      <c r="S109" s="4">
        <v>10.7</v>
      </c>
      <c r="T109" s="2">
        <v>60</v>
      </c>
      <c r="U109" s="3">
        <f>IF(OR(R109&lt;=0,S109&lt;0,T109&lt;=0),"",IF(S109=0,R109/T109,-PMT(S109/1200,T109,R109)))</f>
        <v>24076</v>
      </c>
      <c r="V109" s="2" t="s">
        <v>63</v>
      </c>
      <c r="W109" s="5">
        <v>1451</v>
      </c>
      <c r="X109" s="2">
        <v>141</v>
      </c>
      <c r="Y109" s="4">
        <v>13.79</v>
      </c>
      <c r="Z109" s="5"/>
      <c r="AA109" s="6"/>
      <c r="AB109" s="2">
        <v>5</v>
      </c>
      <c r="AC109" s="2">
        <v>5</v>
      </c>
      <c r="AD109" s="2">
        <v>587</v>
      </c>
      <c r="AE109" s="2"/>
      <c r="AF109" s="2">
        <v>6</v>
      </c>
      <c r="AG109" s="2" t="s">
        <v>63</v>
      </c>
      <c r="AH109" s="2" t="s">
        <v>63</v>
      </c>
      <c r="AI109" s="2" t="s">
        <v>63</v>
      </c>
      <c r="AJ109" s="2" t="s">
        <v>113</v>
      </c>
      <c r="AK109" s="2" t="s">
        <v>84</v>
      </c>
      <c r="AL109" s="5">
        <v>26200</v>
      </c>
      <c r="AM109" s="2" t="s">
        <v>523</v>
      </c>
      <c r="AN109" s="2" t="s">
        <v>164</v>
      </c>
      <c r="AO109" s="2" t="s">
        <v>165</v>
      </c>
      <c r="AP109" s="2" t="s">
        <v>141</v>
      </c>
      <c r="AQ109" s="2" t="s">
        <v>271</v>
      </c>
      <c r="AR109" s="2" t="s">
        <v>89</v>
      </c>
      <c r="AS109" s="2" t="s">
        <v>63</v>
      </c>
      <c r="AT109" s="2" t="s">
        <v>63</v>
      </c>
      <c r="AU109" s="2" t="s">
        <v>62</v>
      </c>
      <c r="AV109" s="2" t="s">
        <v>472</v>
      </c>
      <c r="AW109" s="2" t="s">
        <v>695</v>
      </c>
      <c r="AX109" s="2" t="s">
        <v>92</v>
      </c>
      <c r="AY109" s="3">
        <v>12500</v>
      </c>
      <c r="AZ109" s="2" t="s">
        <v>76</v>
      </c>
      <c r="BA109" s="2"/>
    </row>
    <row r="110" ht="20" customHeight="1" spans="1:53" x14ac:dyDescent="0.25">
      <c r="A110" s="9" t="s">
        <v>696</v>
      </c>
      <c r="B110" s="9" t="s">
        <v>467</v>
      </c>
      <c r="C110" s="9" t="s">
        <v>475</v>
      </c>
      <c r="D110" s="9" t="s">
        <v>476</v>
      </c>
      <c r="E110" s="9" t="s">
        <v>477</v>
      </c>
      <c r="F110" s="9">
        <v>2023</v>
      </c>
      <c r="G110" s="9">
        <v>2023</v>
      </c>
      <c r="H110" s="9" t="s">
        <v>58</v>
      </c>
      <c r="I110" s="9" t="s">
        <v>125</v>
      </c>
      <c r="J110" s="9" t="s">
        <v>210</v>
      </c>
      <c r="K110" s="9" t="s">
        <v>98</v>
      </c>
      <c r="L110" s="9">
        <v>1</v>
      </c>
      <c r="M110" s="10">
        <v>1065000</v>
      </c>
      <c r="N110" s="10">
        <v>1435000</v>
      </c>
      <c r="O110" s="9" t="s">
        <v>62</v>
      </c>
      <c r="P110" s="10">
        <v>1065000</v>
      </c>
      <c r="Q110" s="10">
        <v>265000</v>
      </c>
      <c r="R110" s="10">
        <f>IF(V110="No",0,MAX(0,M110-Q110))</f>
        <v>800000</v>
      </c>
      <c r="S110" s="11">
        <v>10.7</v>
      </c>
      <c r="T110" s="9">
        <v>36</v>
      </c>
      <c r="U110" s="10">
        <f>IF(OR(R110&lt;=0,S110&lt;0,T110&lt;=0),"",IF(S110=0,R110/T110,-PMT(S110/1200,T110,R110)))</f>
        <v>26077</v>
      </c>
      <c r="V110" s="9" t="s">
        <v>63</v>
      </c>
      <c r="W110" s="12"/>
      <c r="X110" s="9">
        <v>134</v>
      </c>
      <c r="Y110" s="11"/>
      <c r="Z110" s="12">
        <v>332</v>
      </c>
      <c r="AA110" s="13">
        <v>38</v>
      </c>
      <c r="AB110" s="9">
        <v>5</v>
      </c>
      <c r="AC110" s="9">
        <v>5</v>
      </c>
      <c r="AD110" s="9">
        <v>604</v>
      </c>
      <c r="AE110" s="9"/>
      <c r="AF110" s="9">
        <v>6</v>
      </c>
      <c r="AG110" s="9" t="s">
        <v>63</v>
      </c>
      <c r="AH110" s="9" t="s">
        <v>63</v>
      </c>
      <c r="AI110" s="9" t="s">
        <v>63</v>
      </c>
      <c r="AJ110" s="9" t="s">
        <v>64</v>
      </c>
      <c r="AK110" s="9" t="s">
        <v>84</v>
      </c>
      <c r="AL110" s="12">
        <v>23000</v>
      </c>
      <c r="AM110" s="9" t="s">
        <v>66</v>
      </c>
      <c r="AN110" s="9" t="s">
        <v>174</v>
      </c>
      <c r="AO110" s="9" t="s">
        <v>175</v>
      </c>
      <c r="AP110" s="9" t="s">
        <v>69</v>
      </c>
      <c r="AQ110" s="9" t="s">
        <v>280</v>
      </c>
      <c r="AR110" s="9" t="s">
        <v>71</v>
      </c>
      <c r="AS110" s="9" t="s">
        <v>63</v>
      </c>
      <c r="AT110" s="9" t="s">
        <v>63</v>
      </c>
      <c r="AU110" s="9" t="s">
        <v>62</v>
      </c>
      <c r="AV110" s="9" t="s">
        <v>479</v>
      </c>
      <c r="AW110" s="9" t="s">
        <v>697</v>
      </c>
      <c r="AX110" s="9" t="s">
        <v>92</v>
      </c>
      <c r="AY110" s="10">
        <v>5500</v>
      </c>
      <c r="AZ110" s="9" t="s">
        <v>76</v>
      </c>
      <c r="BA110" s="9"/>
    </row>
    <row r="111" ht="20" customHeight="1" spans="1:53" x14ac:dyDescent="0.25">
      <c r="A111" s="9" t="s">
        <v>698</v>
      </c>
      <c r="B111" s="9" t="s">
        <v>467</v>
      </c>
      <c r="C111" s="9" t="s">
        <v>482</v>
      </c>
      <c r="D111" s="9" t="s">
        <v>483</v>
      </c>
      <c r="E111" s="9" t="s">
        <v>484</v>
      </c>
      <c r="F111" s="9">
        <v>2022</v>
      </c>
      <c r="G111" s="9">
        <v>2022</v>
      </c>
      <c r="H111" s="9" t="s">
        <v>58</v>
      </c>
      <c r="I111" s="9" t="s">
        <v>97</v>
      </c>
      <c r="J111" s="9" t="s">
        <v>210</v>
      </c>
      <c r="K111" s="9" t="s">
        <v>98</v>
      </c>
      <c r="L111" s="9">
        <v>1</v>
      </c>
      <c r="M111" s="10">
        <v>1535000</v>
      </c>
      <c r="N111" s="10">
        <v>2290000</v>
      </c>
      <c r="O111" s="8" t="s">
        <v>63</v>
      </c>
      <c r="P111" s="10">
        <v>1460000</v>
      </c>
      <c r="Q111" s="10">
        <v>385000</v>
      </c>
      <c r="R111" s="10">
        <f>IF(V111="No",0,MAX(0,M111-Q111))</f>
        <v>1150000</v>
      </c>
      <c r="S111" s="11">
        <v>10.85</v>
      </c>
      <c r="T111" s="9">
        <v>48</v>
      </c>
      <c r="U111" s="10">
        <f>IF(OR(R111&lt;=0,S111&lt;0,T111&lt;=0),"",IF(S111=0,R111/T111,-PMT(S111/1200,T111,R111)))</f>
        <v>29639</v>
      </c>
      <c r="V111" s="9" t="s">
        <v>63</v>
      </c>
      <c r="W111" s="12"/>
      <c r="X111" s="9">
        <v>174</v>
      </c>
      <c r="Y111" s="11"/>
      <c r="Z111" s="12">
        <v>461</v>
      </c>
      <c r="AA111" s="13">
        <v>50.3</v>
      </c>
      <c r="AB111" s="9">
        <v>5</v>
      </c>
      <c r="AC111" s="9">
        <v>5</v>
      </c>
      <c r="AD111" s="9">
        <v>448</v>
      </c>
      <c r="AE111" s="9" t="s">
        <v>211</v>
      </c>
      <c r="AF111" s="9">
        <v>6</v>
      </c>
      <c r="AG111" s="9" t="s">
        <v>63</v>
      </c>
      <c r="AH111" s="9" t="s">
        <v>63</v>
      </c>
      <c r="AI111" s="9" t="s">
        <v>63</v>
      </c>
      <c r="AJ111" s="9" t="s">
        <v>83</v>
      </c>
      <c r="AK111" s="9" t="s">
        <v>101</v>
      </c>
      <c r="AL111" s="12">
        <v>37200</v>
      </c>
      <c r="AM111" s="9" t="s">
        <v>85</v>
      </c>
      <c r="AN111" s="9" t="s">
        <v>185</v>
      </c>
      <c r="AO111" s="9" t="s">
        <v>186</v>
      </c>
      <c r="AP111" s="9" t="s">
        <v>69</v>
      </c>
      <c r="AQ111" s="9" t="s">
        <v>289</v>
      </c>
      <c r="AR111" s="9" t="s">
        <v>89</v>
      </c>
      <c r="AS111" s="9" t="s">
        <v>63</v>
      </c>
      <c r="AT111" s="9" t="s">
        <v>63</v>
      </c>
      <c r="AU111" s="9" t="s">
        <v>62</v>
      </c>
      <c r="AV111" s="9" t="s">
        <v>486</v>
      </c>
      <c r="AW111" s="9" t="s">
        <v>699</v>
      </c>
      <c r="AX111" s="9" t="s">
        <v>92</v>
      </c>
      <c r="AY111" s="10">
        <v>6300</v>
      </c>
      <c r="AZ111" s="9" t="s">
        <v>76</v>
      </c>
      <c r="BA111" s="9"/>
    </row>
    <row r="112" ht="20" customHeight="1" spans="1:53" x14ac:dyDescent="0.25">
      <c r="A112" s="9" t="s">
        <v>700</v>
      </c>
      <c r="B112" s="9" t="s">
        <v>489</v>
      </c>
      <c r="C112" s="9" t="s">
        <v>490</v>
      </c>
      <c r="D112" s="9" t="s">
        <v>491</v>
      </c>
      <c r="E112" s="9" t="s">
        <v>492</v>
      </c>
      <c r="F112" s="9">
        <v>2025</v>
      </c>
      <c r="G112" s="9">
        <v>2026</v>
      </c>
      <c r="H112" s="9" t="s">
        <v>58</v>
      </c>
      <c r="I112" s="9" t="s">
        <v>97</v>
      </c>
      <c r="J112" s="9" t="s">
        <v>210</v>
      </c>
      <c r="K112" s="9" t="s">
        <v>98</v>
      </c>
      <c r="L112" s="9">
        <v>1</v>
      </c>
      <c r="M112" s="10">
        <v>3000000</v>
      </c>
      <c r="N112" s="10">
        <v>3315000</v>
      </c>
      <c r="O112" s="8" t="s">
        <v>63</v>
      </c>
      <c r="P112" s="10">
        <v>2880000</v>
      </c>
      <c r="Q112" s="10">
        <v>750000</v>
      </c>
      <c r="R112" s="10">
        <f>IF(V112="No",0,MAX(0,M112-Q112))</f>
        <v>2250000</v>
      </c>
      <c r="S112" s="11">
        <v>10.4</v>
      </c>
      <c r="T112" s="9">
        <v>60</v>
      </c>
      <c r="U112" s="10">
        <f>IF(OR(R112&lt;=0,S112&lt;0,T112&lt;=0),"",IF(S112=0,R112/T112,-PMT(S112/1200,T112,R112)))</f>
        <v>48250</v>
      </c>
      <c r="V112" s="9" t="s">
        <v>63</v>
      </c>
      <c r="W112" s="12"/>
      <c r="X112" s="9">
        <v>201</v>
      </c>
      <c r="Y112" s="11"/>
      <c r="Z112" s="12">
        <v>521</v>
      </c>
      <c r="AA112" s="13">
        <v>60.48</v>
      </c>
      <c r="AB112" s="9">
        <v>5</v>
      </c>
      <c r="AC112" s="9">
        <v>5</v>
      </c>
      <c r="AD112" s="9">
        <v>440</v>
      </c>
      <c r="AE112" s="9" t="s">
        <v>211</v>
      </c>
      <c r="AF112" s="9">
        <v>7</v>
      </c>
      <c r="AG112" s="9" t="s">
        <v>63</v>
      </c>
      <c r="AH112" s="9" t="s">
        <v>63</v>
      </c>
      <c r="AI112" s="9" t="s">
        <v>63</v>
      </c>
      <c r="AJ112" s="9" t="s">
        <v>100</v>
      </c>
      <c r="AK112" s="9" t="s">
        <v>84</v>
      </c>
      <c r="AL112" s="12">
        <v>10300</v>
      </c>
      <c r="AM112" s="9" t="s">
        <v>102</v>
      </c>
      <c r="AN112" s="9" t="s">
        <v>67</v>
      </c>
      <c r="AO112" s="9" t="s">
        <v>68</v>
      </c>
      <c r="AP112" s="9" t="s">
        <v>69</v>
      </c>
      <c r="AQ112" s="9" t="s">
        <v>70</v>
      </c>
      <c r="AR112" s="9" t="s">
        <v>89</v>
      </c>
      <c r="AS112" s="9" t="s">
        <v>63</v>
      </c>
      <c r="AT112" s="9" t="s">
        <v>63</v>
      </c>
      <c r="AU112" s="9" t="s">
        <v>62</v>
      </c>
      <c r="AV112" s="9" t="s">
        <v>494</v>
      </c>
      <c r="AW112" s="9" t="s">
        <v>701</v>
      </c>
      <c r="AX112" s="9" t="s">
        <v>92</v>
      </c>
      <c r="AY112" s="10">
        <v>6300</v>
      </c>
      <c r="AZ112" s="9" t="s">
        <v>76</v>
      </c>
      <c r="BA112" s="9"/>
    </row>
    <row r="113" ht="20" customHeight="1" spans="1:53" x14ac:dyDescent="0.25">
      <c r="A113" s="9" t="s">
        <v>702</v>
      </c>
      <c r="B113" s="9" t="s">
        <v>489</v>
      </c>
      <c r="C113" s="9" t="s">
        <v>497</v>
      </c>
      <c r="D113" s="9" t="s">
        <v>498</v>
      </c>
      <c r="E113" s="9" t="s">
        <v>499</v>
      </c>
      <c r="F113" s="9">
        <v>2026</v>
      </c>
      <c r="G113" s="9">
        <v>2026</v>
      </c>
      <c r="H113" s="9" t="s">
        <v>58</v>
      </c>
      <c r="I113" s="9" t="s">
        <v>149</v>
      </c>
      <c r="J113" s="9" t="s">
        <v>210</v>
      </c>
      <c r="K113" s="9" t="s">
        <v>98</v>
      </c>
      <c r="L113" s="9">
        <v>1</v>
      </c>
      <c r="M113" s="10">
        <v>4555000</v>
      </c>
      <c r="N113" s="10">
        <v>4555000</v>
      </c>
      <c r="O113" s="9" t="s">
        <v>62</v>
      </c>
      <c r="P113" s="10">
        <v>4555000</v>
      </c>
      <c r="Q113" s="10">
        <v>1140000</v>
      </c>
      <c r="R113" s="10">
        <f>IF(V113="No",0,MAX(0,M113-Q113))</f>
        <v>3415000</v>
      </c>
      <c r="S113" s="11">
        <v>10.25</v>
      </c>
      <c r="T113" s="9">
        <v>36</v>
      </c>
      <c r="U113" s="10">
        <f>IF(OR(R113&lt;=0,S113&lt;0,T113&lt;=0),"",IF(S113=0,R113/T113,-PMT(S113/1200,T113,R113)))</f>
        <v>110594</v>
      </c>
      <c r="V113" s="9" t="s">
        <v>63</v>
      </c>
      <c r="W113" s="12"/>
      <c r="X113" s="9">
        <v>308</v>
      </c>
      <c r="Y113" s="11"/>
      <c r="Z113" s="12">
        <v>650</v>
      </c>
      <c r="AA113" s="13">
        <v>82.56</v>
      </c>
      <c r="AB113" s="9">
        <v>5</v>
      </c>
      <c r="AC113" s="9">
        <v>4</v>
      </c>
      <c r="AD113" s="9">
        <v>400</v>
      </c>
      <c r="AE113" s="9" t="s">
        <v>211</v>
      </c>
      <c r="AF113" s="9">
        <v>9</v>
      </c>
      <c r="AG113" s="9" t="s">
        <v>63</v>
      </c>
      <c r="AH113" s="9" t="s">
        <v>63</v>
      </c>
      <c r="AI113" s="9" t="s">
        <v>63</v>
      </c>
      <c r="AJ113" s="9" t="s">
        <v>113</v>
      </c>
      <c r="AK113" s="9" t="s">
        <v>84</v>
      </c>
      <c r="AL113" s="12">
        <v>8700</v>
      </c>
      <c r="AM113" s="9" t="s">
        <v>114</v>
      </c>
      <c r="AN113" s="9" t="s">
        <v>86</v>
      </c>
      <c r="AO113" s="9" t="s">
        <v>87</v>
      </c>
      <c r="AP113" s="9" t="s">
        <v>69</v>
      </c>
      <c r="AQ113" s="9" t="s">
        <v>88</v>
      </c>
      <c r="AR113" s="9" t="s">
        <v>71</v>
      </c>
      <c r="AS113" s="9" t="s">
        <v>63</v>
      </c>
      <c r="AT113" s="9" t="s">
        <v>63</v>
      </c>
      <c r="AU113" s="9" t="s">
        <v>62</v>
      </c>
      <c r="AV113" s="9" t="s">
        <v>501</v>
      </c>
      <c r="AW113" s="9" t="s">
        <v>703</v>
      </c>
      <c r="AX113" s="9" t="s">
        <v>197</v>
      </c>
      <c r="AY113" s="10">
        <v>6800</v>
      </c>
      <c r="AZ113" s="9" t="s">
        <v>76</v>
      </c>
      <c r="BA113" s="9"/>
    </row>
    <row r="114" ht="20" customHeight="1" spans="1:53" x14ac:dyDescent="0.25">
      <c r="A114" s="2" t="s">
        <v>704</v>
      </c>
      <c r="B114" s="2" t="s">
        <v>504</v>
      </c>
      <c r="C114" s="2" t="s">
        <v>505</v>
      </c>
      <c r="D114" s="2" t="s">
        <v>506</v>
      </c>
      <c r="E114" s="2" t="s">
        <v>507</v>
      </c>
      <c r="F114" s="2">
        <v>2022</v>
      </c>
      <c r="G114" s="2">
        <v>2022</v>
      </c>
      <c r="H114" s="2" t="s">
        <v>58</v>
      </c>
      <c r="I114" s="2" t="s">
        <v>508</v>
      </c>
      <c r="J114" s="2" t="s">
        <v>60</v>
      </c>
      <c r="K114" s="2" t="s">
        <v>98</v>
      </c>
      <c r="L114" s="2">
        <v>1</v>
      </c>
      <c r="M114" s="3">
        <v>3055000</v>
      </c>
      <c r="N114" s="3">
        <v>5455000</v>
      </c>
      <c r="O114" s="8" t="s">
        <v>63</v>
      </c>
      <c r="P114" s="3">
        <v>2900000</v>
      </c>
      <c r="Q114" s="3">
        <v>765000</v>
      </c>
      <c r="R114" s="3">
        <f>IF(V114="No",0,MAX(0,M114-Q114))</f>
        <v>2290000</v>
      </c>
      <c r="S114" s="4">
        <v>10.85</v>
      </c>
      <c r="T114" s="2">
        <v>48</v>
      </c>
      <c r="U114" s="3">
        <f>IF(OR(R114&lt;=0,S114&lt;0,T114&lt;=0),"",IF(S114=0,R114/T114,-PMT(S114/1200,T114,R114)))</f>
        <v>59020</v>
      </c>
      <c r="V114" s="2" t="s">
        <v>63</v>
      </c>
      <c r="W114" s="5">
        <v>1998</v>
      </c>
      <c r="X114" s="2">
        <v>255</v>
      </c>
      <c r="Y114" s="4">
        <v>15.39</v>
      </c>
      <c r="Z114" s="5"/>
      <c r="AA114" s="6"/>
      <c r="AB114" s="2">
        <v>5</v>
      </c>
      <c r="AC114" s="2">
        <v>4</v>
      </c>
      <c r="AD114" s="2">
        <v>480</v>
      </c>
      <c r="AE114" s="2" t="s">
        <v>211</v>
      </c>
      <c r="AF114" s="2">
        <v>6</v>
      </c>
      <c r="AG114" s="2" t="s">
        <v>63</v>
      </c>
      <c r="AH114" s="2" t="s">
        <v>63</v>
      </c>
      <c r="AI114" s="2" t="s">
        <v>63</v>
      </c>
      <c r="AJ114" s="2" t="s">
        <v>64</v>
      </c>
      <c r="AK114" s="2" t="s">
        <v>101</v>
      </c>
      <c r="AL114" s="5">
        <v>45800</v>
      </c>
      <c r="AM114" s="2" t="s">
        <v>126</v>
      </c>
      <c r="AN114" s="2" t="s">
        <v>103</v>
      </c>
      <c r="AO114" s="2" t="s">
        <v>104</v>
      </c>
      <c r="AP114" s="2" t="s">
        <v>128</v>
      </c>
      <c r="AQ114" s="2" t="s">
        <v>105</v>
      </c>
      <c r="AR114" s="2" t="s">
        <v>89</v>
      </c>
      <c r="AS114" s="2" t="s">
        <v>62</v>
      </c>
      <c r="AT114" s="2" t="s">
        <v>63</v>
      </c>
      <c r="AU114" s="2" t="s">
        <v>62</v>
      </c>
      <c r="AV114" s="2" t="s">
        <v>510</v>
      </c>
      <c r="AW114" s="2" t="s">
        <v>705</v>
      </c>
      <c r="AX114" s="2" t="s">
        <v>335</v>
      </c>
      <c r="AY114" s="3">
        <v>44100</v>
      </c>
      <c r="AZ114" s="2" t="s">
        <v>76</v>
      </c>
      <c r="BA114" s="2"/>
    </row>
    <row r="115" ht="20" customHeight="1" spans="1:53" x14ac:dyDescent="0.25">
      <c r="A115" s="2" t="s">
        <v>706</v>
      </c>
      <c r="B115" s="2" t="s">
        <v>504</v>
      </c>
      <c r="C115" s="2" t="s">
        <v>513</v>
      </c>
      <c r="D115" s="2" t="s">
        <v>514</v>
      </c>
      <c r="E115" s="2" t="s">
        <v>515</v>
      </c>
      <c r="F115" s="2">
        <v>2017</v>
      </c>
      <c r="G115" s="2">
        <v>2017</v>
      </c>
      <c r="H115" s="2" t="s">
        <v>58</v>
      </c>
      <c r="I115" s="2" t="s">
        <v>508</v>
      </c>
      <c r="J115" s="2" t="s">
        <v>172</v>
      </c>
      <c r="K115" s="2" t="s">
        <v>161</v>
      </c>
      <c r="L115" s="2">
        <v>2</v>
      </c>
      <c r="M115" s="3">
        <v>1065000</v>
      </c>
      <c r="N115" s="3">
        <v>4170000</v>
      </c>
      <c r="O115" s="8" t="s">
        <v>63</v>
      </c>
      <c r="P115" s="3">
        <v>1020000</v>
      </c>
      <c r="Q115" s="3">
        <v>265000</v>
      </c>
      <c r="R115" s="3">
        <f>IF(V115="No",0,MAX(0,M115-Q115))</f>
        <v>800000</v>
      </c>
      <c r="S115" s="4">
        <v>11.6</v>
      </c>
      <c r="T115" s="2">
        <v>60</v>
      </c>
      <c r="U115" s="3">
        <f>IF(OR(R115&lt;=0,S115&lt;0,T115&lt;=0),"",IF(S115=0,R115/T115,-PMT(S115/1200,T115,R115)))</f>
        <v>17634</v>
      </c>
      <c r="V115" s="2" t="s">
        <v>63</v>
      </c>
      <c r="W115" s="5">
        <v>1995</v>
      </c>
      <c r="X115" s="2">
        <v>148</v>
      </c>
      <c r="Y115" s="4">
        <v>20.37</v>
      </c>
      <c r="Z115" s="5"/>
      <c r="AA115" s="6"/>
      <c r="AB115" s="2">
        <v>5</v>
      </c>
      <c r="AC115" s="2">
        <v>5</v>
      </c>
      <c r="AD115" s="2">
        <v>476</v>
      </c>
      <c r="AE115" s="2" t="s">
        <v>211</v>
      </c>
      <c r="AF115" s="2">
        <v>6</v>
      </c>
      <c r="AG115" s="2" t="s">
        <v>63</v>
      </c>
      <c r="AH115" s="2" t="s">
        <v>63</v>
      </c>
      <c r="AI115" s="2" t="s">
        <v>63</v>
      </c>
      <c r="AJ115" s="2" t="s">
        <v>83</v>
      </c>
      <c r="AK115" s="2" t="s">
        <v>65</v>
      </c>
      <c r="AL115" s="7">
        <v>121900</v>
      </c>
      <c r="AM115" s="2" t="s">
        <v>139</v>
      </c>
      <c r="AN115" s="2" t="s">
        <v>115</v>
      </c>
      <c r="AO115" s="2" t="s">
        <v>116</v>
      </c>
      <c r="AP115" s="2" t="s">
        <v>141</v>
      </c>
      <c r="AQ115" s="2" t="s">
        <v>117</v>
      </c>
      <c r="AR115" s="2" t="s">
        <v>89</v>
      </c>
      <c r="AS115" s="2" t="s">
        <v>63</v>
      </c>
      <c r="AT115" s="2" t="s">
        <v>62</v>
      </c>
      <c r="AU115" s="2" t="s">
        <v>62</v>
      </c>
      <c r="AV115" s="2" t="s">
        <v>517</v>
      </c>
      <c r="AW115" s="2" t="s">
        <v>707</v>
      </c>
      <c r="AX115" s="2" t="s">
        <v>335</v>
      </c>
      <c r="AY115" s="3">
        <v>47600</v>
      </c>
      <c r="AZ115" s="2" t="s">
        <v>76</v>
      </c>
      <c r="BA115" s="2"/>
    </row>
    <row r="116" ht="20" customHeight="1" spans="1:53" x14ac:dyDescent="0.25">
      <c r="A116" s="9" t="s">
        <v>708</v>
      </c>
      <c r="B116" s="9" t="s">
        <v>504</v>
      </c>
      <c r="C116" s="9" t="s">
        <v>520</v>
      </c>
      <c r="D116" s="9" t="s">
        <v>521</v>
      </c>
      <c r="E116" s="9" t="s">
        <v>522</v>
      </c>
      <c r="F116" s="9">
        <v>2025</v>
      </c>
      <c r="G116" s="9">
        <v>2025</v>
      </c>
      <c r="H116" s="9" t="s">
        <v>58</v>
      </c>
      <c r="I116" s="9" t="s">
        <v>508</v>
      </c>
      <c r="J116" s="9" t="s">
        <v>210</v>
      </c>
      <c r="K116" s="9" t="s">
        <v>98</v>
      </c>
      <c r="L116" s="9">
        <v>1</v>
      </c>
      <c r="M116" s="10">
        <v>5645000</v>
      </c>
      <c r="N116" s="10">
        <v>6525000</v>
      </c>
      <c r="O116" s="9" t="s">
        <v>62</v>
      </c>
      <c r="P116" s="10">
        <v>5645000</v>
      </c>
      <c r="Q116" s="10">
        <v>1410000</v>
      </c>
      <c r="R116" s="10">
        <f>IF(V116="No",0,MAX(0,M116-Q116))</f>
        <v>4235000</v>
      </c>
      <c r="S116" s="11">
        <v>10.4</v>
      </c>
      <c r="T116" s="9">
        <v>36</v>
      </c>
      <c r="U116" s="10">
        <f>IF(OR(R116&lt;=0,S116&lt;0,T116&lt;=0),"",IF(S116=0,R116/T116,-PMT(S116/1200,T116,R116)))</f>
        <v>137448</v>
      </c>
      <c r="V116" s="9" t="s">
        <v>63</v>
      </c>
      <c r="W116" s="12"/>
      <c r="X116" s="9">
        <v>308</v>
      </c>
      <c r="Y116" s="11"/>
      <c r="Z116" s="12">
        <v>440</v>
      </c>
      <c r="AA116" s="13">
        <v>66.4</v>
      </c>
      <c r="AB116" s="9">
        <v>5</v>
      </c>
      <c r="AC116" s="9">
        <v>5</v>
      </c>
      <c r="AD116" s="9">
        <v>490</v>
      </c>
      <c r="AE116" s="9" t="s">
        <v>211</v>
      </c>
      <c r="AF116" s="9">
        <v>6</v>
      </c>
      <c r="AG116" s="9" t="s">
        <v>63</v>
      </c>
      <c r="AH116" s="9" t="s">
        <v>63</v>
      </c>
      <c r="AI116" s="9" t="s">
        <v>63</v>
      </c>
      <c r="AJ116" s="9" t="s">
        <v>100</v>
      </c>
      <c r="AK116" s="9" t="s">
        <v>84</v>
      </c>
      <c r="AL116" s="12">
        <v>9800</v>
      </c>
      <c r="AM116" s="9" t="s">
        <v>151</v>
      </c>
      <c r="AN116" s="9" t="s">
        <v>127</v>
      </c>
      <c r="AO116" s="9" t="s">
        <v>127</v>
      </c>
      <c r="AP116" s="9" t="s">
        <v>69</v>
      </c>
      <c r="AQ116" s="9" t="s">
        <v>129</v>
      </c>
      <c r="AR116" s="9" t="s">
        <v>71</v>
      </c>
      <c r="AS116" s="9" t="s">
        <v>63</v>
      </c>
      <c r="AT116" s="9" t="s">
        <v>63</v>
      </c>
      <c r="AU116" s="9" t="s">
        <v>62</v>
      </c>
      <c r="AV116" s="9" t="s">
        <v>524</v>
      </c>
      <c r="AW116" s="9" t="s">
        <v>709</v>
      </c>
      <c r="AX116" s="9" t="s">
        <v>335</v>
      </c>
      <c r="AY116" s="10">
        <v>22900</v>
      </c>
      <c r="AZ116" s="9" t="s">
        <v>76</v>
      </c>
      <c r="BA116" s="9"/>
    </row>
    <row r="117" ht="20" customHeight="1" spans="1:53" x14ac:dyDescent="0.25">
      <c r="A117" s="2" t="s">
        <v>710</v>
      </c>
      <c r="B117" s="2" t="s">
        <v>527</v>
      </c>
      <c r="C117" s="2" t="s">
        <v>528</v>
      </c>
      <c r="D117" s="2" t="s">
        <v>529</v>
      </c>
      <c r="E117" s="2" t="s">
        <v>530</v>
      </c>
      <c r="F117" s="2">
        <v>2019</v>
      </c>
      <c r="G117" s="2">
        <v>2020</v>
      </c>
      <c r="H117" s="2" t="s">
        <v>58</v>
      </c>
      <c r="I117" s="2" t="s">
        <v>508</v>
      </c>
      <c r="J117" s="2" t="s">
        <v>60</v>
      </c>
      <c r="K117" s="2" t="s">
        <v>98</v>
      </c>
      <c r="L117" s="2">
        <v>1</v>
      </c>
      <c r="M117" s="3">
        <v>1685000</v>
      </c>
      <c r="N117" s="3">
        <v>5105000</v>
      </c>
      <c r="O117" s="8" t="s">
        <v>63</v>
      </c>
      <c r="P117" s="3">
        <v>1600000</v>
      </c>
      <c r="Q117" s="3">
        <v>420000</v>
      </c>
      <c r="R117" s="3">
        <f>IF(V117="No",0,MAX(0,M117-Q117))</f>
        <v>1265000</v>
      </c>
      <c r="S117" s="4">
        <v>11.3</v>
      </c>
      <c r="T117" s="2">
        <v>48</v>
      </c>
      <c r="U117" s="3">
        <f>IF(OR(R117&lt;=0,S117&lt;0,T117&lt;=0),"",IF(S117=0,R117/T117,-PMT(S117/1200,T117,R117)))</f>
        <v>32879</v>
      </c>
      <c r="V117" s="2" t="s">
        <v>63</v>
      </c>
      <c r="W117" s="5">
        <v>1496</v>
      </c>
      <c r="X117" s="2">
        <v>201</v>
      </c>
      <c r="Y117" s="4">
        <v>16.9</v>
      </c>
      <c r="Z117" s="5"/>
      <c r="AA117" s="6"/>
      <c r="AB117" s="2">
        <v>5</v>
      </c>
      <c r="AC117" s="2">
        <v>4</v>
      </c>
      <c r="AD117" s="2">
        <v>455</v>
      </c>
      <c r="AE117" s="2" t="s">
        <v>211</v>
      </c>
      <c r="AF117" s="2">
        <v>7</v>
      </c>
      <c r="AG117" s="2" t="s">
        <v>63</v>
      </c>
      <c r="AH117" s="2" t="s">
        <v>63</v>
      </c>
      <c r="AI117" s="2" t="s">
        <v>63</v>
      </c>
      <c r="AJ117" s="2" t="s">
        <v>113</v>
      </c>
      <c r="AK117" s="2" t="s">
        <v>162</v>
      </c>
      <c r="AL117" s="7">
        <v>81400</v>
      </c>
      <c r="AM117" s="2" t="s">
        <v>163</v>
      </c>
      <c r="AN117" s="2" t="s">
        <v>115</v>
      </c>
      <c r="AO117" s="2" t="s">
        <v>140</v>
      </c>
      <c r="AP117" s="2" t="s">
        <v>69</v>
      </c>
      <c r="AQ117" s="2" t="s">
        <v>142</v>
      </c>
      <c r="AR117" s="2" t="s">
        <v>89</v>
      </c>
      <c r="AS117" s="2" t="s">
        <v>63</v>
      </c>
      <c r="AT117" s="2" t="s">
        <v>62</v>
      </c>
      <c r="AU117" s="2" t="s">
        <v>62</v>
      </c>
      <c r="AV117" s="2" t="s">
        <v>532</v>
      </c>
      <c r="AW117" s="2" t="s">
        <v>711</v>
      </c>
      <c r="AX117" s="2" t="s">
        <v>335</v>
      </c>
      <c r="AY117" s="3">
        <v>53800</v>
      </c>
      <c r="AZ117" s="2" t="s">
        <v>76</v>
      </c>
      <c r="BA117" s="2"/>
    </row>
    <row r="118" ht="20" customHeight="1" spans="1:53" x14ac:dyDescent="0.25">
      <c r="A118" s="2" t="s">
        <v>712</v>
      </c>
      <c r="B118" s="2" t="s">
        <v>527</v>
      </c>
      <c r="C118" s="2" t="s">
        <v>535</v>
      </c>
      <c r="D118" s="2" t="s">
        <v>536</v>
      </c>
      <c r="E118" s="2" t="s">
        <v>537</v>
      </c>
      <c r="F118" s="2">
        <v>2026</v>
      </c>
      <c r="G118" s="2">
        <v>2026</v>
      </c>
      <c r="H118" s="2" t="s">
        <v>171</v>
      </c>
      <c r="I118" s="2" t="s">
        <v>508</v>
      </c>
      <c r="J118" s="2" t="s">
        <v>60</v>
      </c>
      <c r="K118" s="2" t="s">
        <v>98</v>
      </c>
      <c r="L118" s="2">
        <v>0</v>
      </c>
      <c r="M118" s="3">
        <v>7590000</v>
      </c>
      <c r="N118" s="3">
        <v>7590000</v>
      </c>
      <c r="O118" s="8" t="s">
        <v>63</v>
      </c>
      <c r="P118" s="3">
        <v>7285000</v>
      </c>
      <c r="Q118" s="3">
        <v>1520000</v>
      </c>
      <c r="R118" s="3">
        <f>IF(V118="No",0,MAX(0,M118-Q118))</f>
        <v>6070000</v>
      </c>
      <c r="S118" s="4">
        <v>0</v>
      </c>
      <c r="T118" s="2">
        <v>84</v>
      </c>
      <c r="U118" s="3">
        <f>IF(OR(R118&lt;=0,S118&lt;0,T118&lt;=0),"",IF(S118=0,R118/T118,-PMT(S118/1200,T118,R118)))</f>
        <v>72262</v>
      </c>
      <c r="V118" s="2" t="s">
        <v>63</v>
      </c>
      <c r="W118" s="5">
        <v>1999</v>
      </c>
      <c r="X118" s="2">
        <v>255</v>
      </c>
      <c r="Y118" s="4">
        <v>14.72</v>
      </c>
      <c r="Z118" s="5"/>
      <c r="AA118" s="6"/>
      <c r="AB118" s="2">
        <v>5</v>
      </c>
      <c r="AC118" s="2">
        <v>5</v>
      </c>
      <c r="AD118" s="2">
        <v>620</v>
      </c>
      <c r="AE118" s="2" t="s">
        <v>211</v>
      </c>
      <c r="AF118" s="2">
        <v>7</v>
      </c>
      <c r="AG118" s="2" t="s">
        <v>63</v>
      </c>
      <c r="AH118" s="2" t="s">
        <v>63</v>
      </c>
      <c r="AI118" s="2" t="s">
        <v>63</v>
      </c>
      <c r="AJ118" s="2" t="s">
        <v>64</v>
      </c>
      <c r="AK118" s="2" t="s">
        <v>171</v>
      </c>
      <c r="AL118" s="5">
        <v>41</v>
      </c>
      <c r="AM118" s="2" t="s">
        <v>173</v>
      </c>
      <c r="AN118" s="2" t="s">
        <v>67</v>
      </c>
      <c r="AO118" s="2" t="s">
        <v>152</v>
      </c>
      <c r="AP118" s="2" t="s">
        <v>69</v>
      </c>
      <c r="AQ118" s="2" t="s">
        <v>153</v>
      </c>
      <c r="AR118" s="2" t="s">
        <v>89</v>
      </c>
      <c r="AS118" s="2" t="s">
        <v>63</v>
      </c>
      <c r="AT118" s="2" t="s">
        <v>63</v>
      </c>
      <c r="AU118" s="2" t="s">
        <v>62</v>
      </c>
      <c r="AV118" s="2" t="s">
        <v>538</v>
      </c>
      <c r="AW118" s="2" t="s">
        <v>713</v>
      </c>
      <c r="AX118" s="2" t="s">
        <v>335</v>
      </c>
      <c r="AY118" s="3">
        <v>46000</v>
      </c>
      <c r="AZ118" s="2" t="s">
        <v>76</v>
      </c>
      <c r="BA118" s="2"/>
    </row>
    <row r="119" ht="20" customHeight="1" spans="1:53" x14ac:dyDescent="0.25">
      <c r="A119" s="9" t="s">
        <v>714</v>
      </c>
      <c r="B119" s="9" t="s">
        <v>527</v>
      </c>
      <c r="C119" s="9" t="s">
        <v>541</v>
      </c>
      <c r="D119" s="9" t="s">
        <v>542</v>
      </c>
      <c r="E119" s="9" t="s">
        <v>543</v>
      </c>
      <c r="F119" s="9">
        <v>2024</v>
      </c>
      <c r="G119" s="9">
        <v>2024</v>
      </c>
      <c r="H119" s="9" t="s">
        <v>58</v>
      </c>
      <c r="I119" s="9" t="s">
        <v>508</v>
      </c>
      <c r="J119" s="9" t="s">
        <v>210</v>
      </c>
      <c r="K119" s="9" t="s">
        <v>98</v>
      </c>
      <c r="L119" s="9">
        <v>1</v>
      </c>
      <c r="M119" s="10">
        <v>4690000</v>
      </c>
      <c r="N119" s="10">
        <v>6270000</v>
      </c>
      <c r="O119" s="9" t="s">
        <v>62</v>
      </c>
      <c r="P119" s="10">
        <v>4690000</v>
      </c>
      <c r="Q119" s="10">
        <v>1175000</v>
      </c>
      <c r="R119" s="10">
        <f>IF(V119="No",0,MAX(0,M119-Q119))</f>
        <v>3515000</v>
      </c>
      <c r="S119" s="11">
        <v>10.55</v>
      </c>
      <c r="T119" s="9">
        <v>36</v>
      </c>
      <c r="U119" s="10">
        <f>IF(OR(R119&lt;=0,S119&lt;0,T119&lt;=0),"",IF(S119=0,R119/T119,-PMT(S119/1200,T119,R119)))</f>
        <v>114329</v>
      </c>
      <c r="V119" s="9" t="s">
        <v>63</v>
      </c>
      <c r="W119" s="12"/>
      <c r="X119" s="9">
        <v>188</v>
      </c>
      <c r="Y119" s="11"/>
      <c r="Z119" s="12">
        <v>560</v>
      </c>
      <c r="AA119" s="13">
        <v>70.5</v>
      </c>
      <c r="AB119" s="9">
        <v>5</v>
      </c>
      <c r="AC119" s="9">
        <v>5</v>
      </c>
      <c r="AD119" s="9">
        <v>340</v>
      </c>
      <c r="AE119" s="9" t="s">
        <v>211</v>
      </c>
      <c r="AF119" s="9">
        <v>7</v>
      </c>
      <c r="AG119" s="9" t="s">
        <v>63</v>
      </c>
      <c r="AH119" s="9" t="s">
        <v>63</v>
      </c>
      <c r="AI119" s="9" t="s">
        <v>63</v>
      </c>
      <c r="AJ119" s="9" t="s">
        <v>83</v>
      </c>
      <c r="AK119" s="9" t="s">
        <v>84</v>
      </c>
      <c r="AL119" s="12">
        <v>19600</v>
      </c>
      <c r="AM119" s="9" t="s">
        <v>184</v>
      </c>
      <c r="AN119" s="9" t="s">
        <v>164</v>
      </c>
      <c r="AO119" s="9" t="s">
        <v>165</v>
      </c>
      <c r="AP119" s="9" t="s">
        <v>69</v>
      </c>
      <c r="AQ119" s="9" t="s">
        <v>166</v>
      </c>
      <c r="AR119" s="9" t="s">
        <v>71</v>
      </c>
      <c r="AS119" s="9" t="s">
        <v>63</v>
      </c>
      <c r="AT119" s="9" t="s">
        <v>63</v>
      </c>
      <c r="AU119" s="9" t="s">
        <v>62</v>
      </c>
      <c r="AV119" s="9" t="s">
        <v>545</v>
      </c>
      <c r="AW119" s="9" t="s">
        <v>715</v>
      </c>
      <c r="AX119" s="9" t="s">
        <v>335</v>
      </c>
      <c r="AY119" s="10">
        <v>25900</v>
      </c>
      <c r="AZ119" s="9" t="s">
        <v>76</v>
      </c>
      <c r="BA119" s="9"/>
    </row>
    <row r="120" ht="20" customHeight="1" spans="1:53" x14ac:dyDescent="0.25">
      <c r="A120" s="2" t="s">
        <v>716</v>
      </c>
      <c r="B120" s="2" t="s">
        <v>548</v>
      </c>
      <c r="C120" s="2" t="s">
        <v>549</v>
      </c>
      <c r="D120" s="2" t="s">
        <v>550</v>
      </c>
      <c r="E120" s="2" t="s">
        <v>551</v>
      </c>
      <c r="F120" s="2">
        <v>2016</v>
      </c>
      <c r="G120" s="2">
        <v>2016</v>
      </c>
      <c r="H120" s="2" t="s">
        <v>58</v>
      </c>
      <c r="I120" s="2" t="s">
        <v>508</v>
      </c>
      <c r="J120" s="2" t="s">
        <v>60</v>
      </c>
      <c r="K120" s="2" t="s">
        <v>161</v>
      </c>
      <c r="L120" s="2">
        <v>2</v>
      </c>
      <c r="M120" s="3">
        <v>1040000</v>
      </c>
      <c r="N120" s="3">
        <v>4090000</v>
      </c>
      <c r="O120" s="8" t="s">
        <v>63</v>
      </c>
      <c r="P120" s="3">
        <v>990000</v>
      </c>
      <c r="Q120" s="3">
        <v>260000</v>
      </c>
      <c r="R120" s="3">
        <f>IF(V120="No",0,MAX(0,M120-Q120))</f>
        <v>780000</v>
      </c>
      <c r="S120" s="4">
        <v>11.75</v>
      </c>
      <c r="T120" s="2">
        <v>48</v>
      </c>
      <c r="U120" s="3">
        <f>IF(OR(R120&lt;=0,S120&lt;0,T120&lt;=0),"",IF(S120=0,R120/T120,-PMT(S120/1200,T120,R120)))</f>
        <v>20445</v>
      </c>
      <c r="V120" s="2" t="s">
        <v>63</v>
      </c>
      <c r="W120" s="5">
        <v>1984</v>
      </c>
      <c r="X120" s="2">
        <v>201</v>
      </c>
      <c r="Y120" s="4">
        <v>17.4</v>
      </c>
      <c r="Z120" s="5"/>
      <c r="AA120" s="6"/>
      <c r="AB120" s="2">
        <v>5</v>
      </c>
      <c r="AC120" s="2">
        <v>4</v>
      </c>
      <c r="AD120" s="2">
        <v>460</v>
      </c>
      <c r="AE120" s="2" t="s">
        <v>211</v>
      </c>
      <c r="AF120" s="2">
        <v>8</v>
      </c>
      <c r="AG120" s="2" t="s">
        <v>63</v>
      </c>
      <c r="AH120" s="2" t="s">
        <v>63</v>
      </c>
      <c r="AI120" s="2" t="s">
        <v>63</v>
      </c>
      <c r="AJ120" s="2" t="s">
        <v>100</v>
      </c>
      <c r="AK120" s="2" t="s">
        <v>65</v>
      </c>
      <c r="AL120" s="7">
        <v>116900</v>
      </c>
      <c r="AM120" s="2" t="s">
        <v>193</v>
      </c>
      <c r="AN120" s="2" t="s">
        <v>174</v>
      </c>
      <c r="AO120" s="2" t="s">
        <v>175</v>
      </c>
      <c r="AP120" s="2" t="s">
        <v>128</v>
      </c>
      <c r="AQ120" s="2" t="s">
        <v>176</v>
      </c>
      <c r="AR120" s="2" t="s">
        <v>89</v>
      </c>
      <c r="AS120" s="2" t="s">
        <v>63</v>
      </c>
      <c r="AT120" s="2" t="s">
        <v>62</v>
      </c>
      <c r="AU120" s="2" t="s">
        <v>62</v>
      </c>
      <c r="AV120" s="2" t="s">
        <v>552</v>
      </c>
      <c r="AW120" s="2" t="s">
        <v>717</v>
      </c>
      <c r="AX120" s="2" t="s">
        <v>335</v>
      </c>
      <c r="AY120" s="3">
        <v>54600</v>
      </c>
      <c r="AZ120" s="2" t="s">
        <v>76</v>
      </c>
      <c r="BA120" s="2"/>
    </row>
    <row r="121" ht="20" customHeight="1" spans="1:53" x14ac:dyDescent="0.25">
      <c r="A121" s="2" t="s">
        <v>718</v>
      </c>
      <c r="B121" s="2" t="s">
        <v>548</v>
      </c>
      <c r="C121" s="2" t="s">
        <v>555</v>
      </c>
      <c r="D121" s="2" t="s">
        <v>556</v>
      </c>
      <c r="E121" s="2" t="s">
        <v>557</v>
      </c>
      <c r="F121" s="2">
        <v>2023</v>
      </c>
      <c r="G121" s="2">
        <v>2023</v>
      </c>
      <c r="H121" s="2" t="s">
        <v>58</v>
      </c>
      <c r="I121" s="2" t="s">
        <v>508</v>
      </c>
      <c r="J121" s="2" t="s">
        <v>60</v>
      </c>
      <c r="K121" s="2" t="s">
        <v>161</v>
      </c>
      <c r="L121" s="2">
        <v>1</v>
      </c>
      <c r="M121" s="3">
        <v>3270000</v>
      </c>
      <c r="N121" s="3">
        <v>5055000</v>
      </c>
      <c r="O121" s="8" t="s">
        <v>63</v>
      </c>
      <c r="P121" s="3">
        <v>3140000</v>
      </c>
      <c r="Q121" s="3">
        <v>820000</v>
      </c>
      <c r="R121" s="3">
        <f>IF(V121="No",0,MAX(0,M121-Q121))</f>
        <v>2450000</v>
      </c>
      <c r="S121" s="4">
        <v>10.7</v>
      </c>
      <c r="T121" s="2">
        <v>60</v>
      </c>
      <c r="U121" s="3">
        <f>IF(OR(R121&lt;=0,S121&lt;0,T121&lt;=0),"",IF(S121=0,R121/T121,-PMT(S121/1200,T121,R121)))</f>
        <v>52903</v>
      </c>
      <c r="V121" s="2" t="s">
        <v>63</v>
      </c>
      <c r="W121" s="5">
        <v>1984</v>
      </c>
      <c r="X121" s="2">
        <v>187</v>
      </c>
      <c r="Y121" s="4">
        <v>14.93</v>
      </c>
      <c r="Z121" s="5"/>
      <c r="AA121" s="6"/>
      <c r="AB121" s="2">
        <v>5</v>
      </c>
      <c r="AC121" s="2">
        <v>5</v>
      </c>
      <c r="AD121" s="2">
        <v>530</v>
      </c>
      <c r="AE121" s="2" t="s">
        <v>211</v>
      </c>
      <c r="AF121" s="2">
        <v>6</v>
      </c>
      <c r="AG121" s="2" t="s">
        <v>63</v>
      </c>
      <c r="AH121" s="2" t="s">
        <v>63</v>
      </c>
      <c r="AI121" s="2" t="s">
        <v>63</v>
      </c>
      <c r="AJ121" s="2" t="s">
        <v>113</v>
      </c>
      <c r="AK121" s="2" t="s">
        <v>84</v>
      </c>
      <c r="AL121" s="5">
        <v>23000</v>
      </c>
      <c r="AM121" s="2" t="s">
        <v>202</v>
      </c>
      <c r="AN121" s="2" t="s">
        <v>185</v>
      </c>
      <c r="AO121" s="2" t="s">
        <v>186</v>
      </c>
      <c r="AP121" s="2" t="s">
        <v>141</v>
      </c>
      <c r="AQ121" s="2" t="s">
        <v>187</v>
      </c>
      <c r="AR121" s="2" t="s">
        <v>89</v>
      </c>
      <c r="AS121" s="2" t="s">
        <v>62</v>
      </c>
      <c r="AT121" s="2" t="s">
        <v>63</v>
      </c>
      <c r="AU121" s="2" t="s">
        <v>62</v>
      </c>
      <c r="AV121" s="2" t="s">
        <v>559</v>
      </c>
      <c r="AW121" s="2" t="s">
        <v>719</v>
      </c>
      <c r="AX121" s="2" t="s">
        <v>335</v>
      </c>
      <c r="AY121" s="3">
        <v>45900</v>
      </c>
      <c r="AZ121" s="2" t="s">
        <v>76</v>
      </c>
      <c r="BA121" s="2"/>
    </row>
    <row r="122" ht="20" customHeight="1" spans="1:53" x14ac:dyDescent="0.25">
      <c r="A122" s="9" t="s">
        <v>720</v>
      </c>
      <c r="B122" s="9" t="s">
        <v>548</v>
      </c>
      <c r="C122" s="9" t="s">
        <v>562</v>
      </c>
      <c r="D122" s="9" t="s">
        <v>563</v>
      </c>
      <c r="E122" s="9" t="s">
        <v>564</v>
      </c>
      <c r="F122" s="9">
        <v>2023</v>
      </c>
      <c r="G122" s="9">
        <v>2024</v>
      </c>
      <c r="H122" s="9" t="s">
        <v>58</v>
      </c>
      <c r="I122" s="9" t="s">
        <v>508</v>
      </c>
      <c r="J122" s="9" t="s">
        <v>210</v>
      </c>
      <c r="K122" s="9" t="s">
        <v>98</v>
      </c>
      <c r="L122" s="9">
        <v>1</v>
      </c>
      <c r="M122" s="10">
        <v>7605000</v>
      </c>
      <c r="N122" s="10">
        <v>11750000</v>
      </c>
      <c r="O122" s="9" t="s">
        <v>62</v>
      </c>
      <c r="P122" s="10">
        <v>7605000</v>
      </c>
      <c r="Q122" s="10">
        <v>1900000</v>
      </c>
      <c r="R122" s="10">
        <f>IF(V122="No",0,MAX(0,M122-Q122))</f>
        <v>5705000</v>
      </c>
      <c r="S122" s="11">
        <v>10.7</v>
      </c>
      <c r="T122" s="9">
        <v>36</v>
      </c>
      <c r="U122" s="10">
        <f>IF(OR(R122&lt;=0,S122&lt;0,T122&lt;=0),"",IF(S122=0,R122/T122,-PMT(S122/1200,T122,R122)))</f>
        <v>185965</v>
      </c>
      <c r="V122" s="9" t="s">
        <v>63</v>
      </c>
      <c r="W122" s="12"/>
      <c r="X122" s="9">
        <v>402</v>
      </c>
      <c r="Y122" s="11"/>
      <c r="Z122" s="12">
        <v>582</v>
      </c>
      <c r="AA122" s="13">
        <v>114</v>
      </c>
      <c r="AB122" s="9">
        <v>5</v>
      </c>
      <c r="AC122" s="9">
        <v>5</v>
      </c>
      <c r="AD122" s="9">
        <v>569</v>
      </c>
      <c r="AE122" s="9" t="s">
        <v>211</v>
      </c>
      <c r="AF122" s="9">
        <v>8</v>
      </c>
      <c r="AG122" s="9" t="s">
        <v>63</v>
      </c>
      <c r="AH122" s="9" t="s">
        <v>63</v>
      </c>
      <c r="AI122" s="9" t="s">
        <v>63</v>
      </c>
      <c r="AJ122" s="9" t="s">
        <v>64</v>
      </c>
      <c r="AK122" s="9" t="s">
        <v>84</v>
      </c>
      <c r="AL122" s="12">
        <v>25900</v>
      </c>
      <c r="AM122" s="9" t="s">
        <v>212</v>
      </c>
      <c r="AN122" s="9" t="s">
        <v>67</v>
      </c>
      <c r="AO122" s="9" t="s">
        <v>68</v>
      </c>
      <c r="AP122" s="9" t="s">
        <v>69</v>
      </c>
      <c r="AQ122" s="9" t="s">
        <v>194</v>
      </c>
      <c r="AR122" s="9" t="s">
        <v>71</v>
      </c>
      <c r="AS122" s="9" t="s">
        <v>63</v>
      </c>
      <c r="AT122" s="9" t="s">
        <v>63</v>
      </c>
      <c r="AU122" s="9" t="s">
        <v>72</v>
      </c>
      <c r="AV122" s="9" t="s">
        <v>566</v>
      </c>
      <c r="AW122" s="9" t="s">
        <v>721</v>
      </c>
      <c r="AX122" s="9" t="s">
        <v>335</v>
      </c>
      <c r="AY122" s="10">
        <v>32500</v>
      </c>
      <c r="AZ122" s="9" t="s">
        <v>76</v>
      </c>
      <c r="BA122" s="9"/>
    </row>
    <row r="123" ht="20" customHeight="1" spans="1:53" x14ac:dyDescent="0.25">
      <c r="A123" s="2" t="s">
        <v>722</v>
      </c>
      <c r="B123" s="2" t="s">
        <v>569</v>
      </c>
      <c r="C123" s="2" t="s">
        <v>570</v>
      </c>
      <c r="D123" s="2" t="s">
        <v>571</v>
      </c>
      <c r="E123" s="2" t="s">
        <v>572</v>
      </c>
      <c r="F123" s="2">
        <v>2025</v>
      </c>
      <c r="G123" s="2">
        <v>2025</v>
      </c>
      <c r="H123" s="2" t="s">
        <v>58</v>
      </c>
      <c r="I123" s="2" t="s">
        <v>97</v>
      </c>
      <c r="J123" s="2" t="s">
        <v>172</v>
      </c>
      <c r="K123" s="2" t="s">
        <v>98</v>
      </c>
      <c r="L123" s="2">
        <v>1</v>
      </c>
      <c r="M123" s="3">
        <v>2860000</v>
      </c>
      <c r="N123" s="3">
        <v>3160000</v>
      </c>
      <c r="O123" s="8" t="s">
        <v>63</v>
      </c>
      <c r="P123" s="3">
        <v>2715000</v>
      </c>
      <c r="Q123" s="3">
        <v>715000</v>
      </c>
      <c r="R123" s="3">
        <f>IF(V123="No",0,MAX(0,M123-Q123))</f>
        <v>2145000</v>
      </c>
      <c r="S123" s="4">
        <v>10.4</v>
      </c>
      <c r="T123" s="2">
        <v>48</v>
      </c>
      <c r="U123" s="3">
        <f>IF(OR(R123&lt;=0,S123&lt;0,T123&lt;=0),"",IF(S123=0,R123/T123,-PMT(S123/1200,T123,R123)))</f>
        <v>54816</v>
      </c>
      <c r="V123" s="2" t="s">
        <v>63</v>
      </c>
      <c r="W123" s="5">
        <v>1956</v>
      </c>
      <c r="X123" s="2">
        <v>168</v>
      </c>
      <c r="Y123" s="4">
        <v>14.9</v>
      </c>
      <c r="Z123" s="5"/>
      <c r="AA123" s="6"/>
      <c r="AB123" s="2">
        <v>5</v>
      </c>
      <c r="AC123" s="2">
        <v>5</v>
      </c>
      <c r="AD123" s="2">
        <v>438</v>
      </c>
      <c r="AE123" s="2" t="s">
        <v>211</v>
      </c>
      <c r="AF123" s="2">
        <v>6</v>
      </c>
      <c r="AG123" s="2" t="s">
        <v>63</v>
      </c>
      <c r="AH123" s="2" t="s">
        <v>63</v>
      </c>
      <c r="AI123" s="2" t="s">
        <v>63</v>
      </c>
      <c r="AJ123" s="2" t="s">
        <v>83</v>
      </c>
      <c r="AK123" s="2" t="s">
        <v>84</v>
      </c>
      <c r="AL123" s="5">
        <v>14500</v>
      </c>
      <c r="AM123" s="2" t="s">
        <v>220</v>
      </c>
      <c r="AN123" s="2" t="s">
        <v>86</v>
      </c>
      <c r="AO123" s="2" t="s">
        <v>87</v>
      </c>
      <c r="AP123" s="2" t="s">
        <v>69</v>
      </c>
      <c r="AQ123" s="2" t="s">
        <v>203</v>
      </c>
      <c r="AR123" s="2" t="s">
        <v>89</v>
      </c>
      <c r="AS123" s="2" t="s">
        <v>63</v>
      </c>
      <c r="AT123" s="2" t="s">
        <v>63</v>
      </c>
      <c r="AU123" s="2" t="s">
        <v>62</v>
      </c>
      <c r="AV123" s="2" t="s">
        <v>574</v>
      </c>
      <c r="AW123" s="2" t="s">
        <v>723</v>
      </c>
      <c r="AX123" s="2" t="s">
        <v>197</v>
      </c>
      <c r="AY123" s="3">
        <v>16100</v>
      </c>
      <c r="AZ123" s="2" t="s">
        <v>76</v>
      </c>
      <c r="BA123" s="2"/>
    </row>
    <row r="124" ht="20" customHeight="1" spans="1:53" x14ac:dyDescent="0.25">
      <c r="A124" s="2" t="s">
        <v>724</v>
      </c>
      <c r="B124" s="2" t="s">
        <v>54</v>
      </c>
      <c r="C124" s="2" t="s">
        <v>55</v>
      </c>
      <c r="D124" s="2" t="s">
        <v>56</v>
      </c>
      <c r="E124" s="2" t="s">
        <v>57</v>
      </c>
      <c r="F124" s="2">
        <v>2020</v>
      </c>
      <c r="G124" s="2">
        <v>2020</v>
      </c>
      <c r="H124" s="2" t="s">
        <v>58</v>
      </c>
      <c r="I124" s="2" t="s">
        <v>59</v>
      </c>
      <c r="J124" s="2" t="s">
        <v>60</v>
      </c>
      <c r="K124" s="2" t="s">
        <v>61</v>
      </c>
      <c r="L124" s="2">
        <v>1</v>
      </c>
      <c r="M124" s="3">
        <v>420000</v>
      </c>
      <c r="N124" s="3">
        <v>765000</v>
      </c>
      <c r="O124" s="8" t="s">
        <v>63</v>
      </c>
      <c r="P124" s="3">
        <v>405000</v>
      </c>
      <c r="Q124" s="3">
        <v>105000</v>
      </c>
      <c r="R124" s="3">
        <f>IF(V124="No",0,MAX(0,M124-Q124))</f>
        <v>315000</v>
      </c>
      <c r="S124" s="4">
        <v>11.15</v>
      </c>
      <c r="T124" s="2">
        <v>60</v>
      </c>
      <c r="U124" s="3">
        <f>IF(OR(R124&lt;=0,S124&lt;0,T124&lt;=0),"",IF(S124=0,R124/T124,-PMT(S124/1200,T124,R124)))</f>
        <v>6872</v>
      </c>
      <c r="V124" s="2" t="s">
        <v>63</v>
      </c>
      <c r="W124" s="5">
        <v>1197</v>
      </c>
      <c r="X124" s="2">
        <v>89</v>
      </c>
      <c r="Y124" s="4">
        <v>22.38</v>
      </c>
      <c r="Z124" s="5"/>
      <c r="AA124" s="6"/>
      <c r="AB124" s="2">
        <v>5</v>
      </c>
      <c r="AC124" s="2">
        <v>5</v>
      </c>
      <c r="AD124" s="2">
        <v>268</v>
      </c>
      <c r="AE124" s="2"/>
      <c r="AF124" s="2">
        <v>6</v>
      </c>
      <c r="AG124" s="2" t="s">
        <v>63</v>
      </c>
      <c r="AH124" s="2" t="s">
        <v>63</v>
      </c>
      <c r="AI124" s="2" t="s">
        <v>63</v>
      </c>
      <c r="AJ124" s="2" t="s">
        <v>100</v>
      </c>
      <c r="AK124" s="2" t="s">
        <v>162</v>
      </c>
      <c r="AL124" s="5">
        <v>64200</v>
      </c>
      <c r="AM124" s="2" t="s">
        <v>230</v>
      </c>
      <c r="AN124" s="2" t="s">
        <v>103</v>
      </c>
      <c r="AO124" s="2" t="s">
        <v>104</v>
      </c>
      <c r="AP124" s="2" t="s">
        <v>69</v>
      </c>
      <c r="AQ124" s="2" t="s">
        <v>213</v>
      </c>
      <c r="AR124" s="2" t="s">
        <v>89</v>
      </c>
      <c r="AS124" s="2" t="s">
        <v>63</v>
      </c>
      <c r="AT124" s="2" t="s">
        <v>62</v>
      </c>
      <c r="AU124" s="2" t="s">
        <v>62</v>
      </c>
      <c r="AV124" s="2" t="s">
        <v>73</v>
      </c>
      <c r="AW124" s="2" t="s">
        <v>725</v>
      </c>
      <c r="AX124" s="2" t="s">
        <v>75</v>
      </c>
      <c r="AY124" s="3">
        <v>8100</v>
      </c>
      <c r="AZ124" s="2" t="s">
        <v>76</v>
      </c>
      <c r="BA124" s="2"/>
    </row>
    <row r="125" ht="20" customHeight="1" spans="1:53" x14ac:dyDescent="0.25">
      <c r="A125" s="2" t="s">
        <v>726</v>
      </c>
      <c r="B125" s="2" t="s">
        <v>54</v>
      </c>
      <c r="C125" s="2" t="s">
        <v>78</v>
      </c>
      <c r="D125" s="2" t="s">
        <v>79</v>
      </c>
      <c r="E125" s="2" t="s">
        <v>80</v>
      </c>
      <c r="F125" s="2">
        <v>2015</v>
      </c>
      <c r="G125" s="2">
        <v>2015</v>
      </c>
      <c r="H125" s="2" t="s">
        <v>58</v>
      </c>
      <c r="I125" s="2" t="s">
        <v>59</v>
      </c>
      <c r="J125" s="2" t="s">
        <v>60</v>
      </c>
      <c r="K125" s="2" t="s">
        <v>81</v>
      </c>
      <c r="L125" s="2">
        <v>2</v>
      </c>
      <c r="M125" s="3">
        <v>215000</v>
      </c>
      <c r="N125" s="3">
        <v>715000</v>
      </c>
      <c r="O125" s="2" t="s">
        <v>62</v>
      </c>
      <c r="P125" s="3">
        <v>215000</v>
      </c>
      <c r="Q125" s="3">
        <v>55000</v>
      </c>
      <c r="R125" s="3">
        <f>IF(V125="No",0,MAX(0,M125-Q125))</f>
        <v>0</v>
      </c>
      <c r="S125" s="4">
        <v>0</v>
      </c>
      <c r="T125" s="2">
        <v>0</v>
      </c>
      <c r="U125" s="3" t="str">
        <f>IF(OR(R125&lt;=0,S125&lt;0,T125&lt;=0),"",IF(S125=0,R125/T125,-PMT(S125/1200,T125,R125)))</f>
        <v/>
      </c>
      <c r="V125" s="2" t="s">
        <v>62</v>
      </c>
      <c r="W125" s="5">
        <v>1197</v>
      </c>
      <c r="X125" s="2">
        <v>89</v>
      </c>
      <c r="Y125" s="4">
        <v>22.94</v>
      </c>
      <c r="Z125" s="5"/>
      <c r="AA125" s="6"/>
      <c r="AB125" s="2">
        <v>5</v>
      </c>
      <c r="AC125" s="2">
        <v>5</v>
      </c>
      <c r="AD125" s="2">
        <v>318</v>
      </c>
      <c r="AE125" s="2" t="s">
        <v>82</v>
      </c>
      <c r="AF125" s="2">
        <v>6</v>
      </c>
      <c r="AG125" s="2" t="s">
        <v>63</v>
      </c>
      <c r="AH125" s="2" t="s">
        <v>63</v>
      </c>
      <c r="AI125" s="2" t="s">
        <v>63</v>
      </c>
      <c r="AJ125" s="2" t="s">
        <v>113</v>
      </c>
      <c r="AK125" s="2" t="s">
        <v>65</v>
      </c>
      <c r="AL125" s="7">
        <v>120200</v>
      </c>
      <c r="AM125" s="2" t="s">
        <v>238</v>
      </c>
      <c r="AN125" s="2" t="s">
        <v>115</v>
      </c>
      <c r="AO125" s="2" t="s">
        <v>116</v>
      </c>
      <c r="AP125" s="2" t="s">
        <v>69</v>
      </c>
      <c r="AQ125" s="2" t="s">
        <v>221</v>
      </c>
      <c r="AR125" s="2" t="s">
        <v>71</v>
      </c>
      <c r="AS125" s="2" t="s">
        <v>63</v>
      </c>
      <c r="AT125" s="2" t="s">
        <v>62</v>
      </c>
      <c r="AU125" s="2" t="s">
        <v>62</v>
      </c>
      <c r="AV125" s="2" t="s">
        <v>90</v>
      </c>
      <c r="AW125" s="2" t="s">
        <v>727</v>
      </c>
      <c r="AX125" s="2" t="s">
        <v>92</v>
      </c>
      <c r="AY125" s="3">
        <v>9800</v>
      </c>
      <c r="AZ125" s="2" t="s">
        <v>76</v>
      </c>
      <c r="BA125" s="2"/>
    </row>
    <row r="126" ht="20" customHeight="1" spans="1:53" x14ac:dyDescent="0.25">
      <c r="A126" s="2" t="s">
        <v>728</v>
      </c>
      <c r="B126" s="2" t="s">
        <v>54</v>
      </c>
      <c r="C126" s="2" t="s">
        <v>94</v>
      </c>
      <c r="D126" s="2" t="s">
        <v>95</v>
      </c>
      <c r="E126" s="2" t="s">
        <v>96</v>
      </c>
      <c r="F126" s="2">
        <v>2022</v>
      </c>
      <c r="G126" s="2">
        <v>2022</v>
      </c>
      <c r="H126" s="2" t="s">
        <v>58</v>
      </c>
      <c r="I126" s="2" t="s">
        <v>97</v>
      </c>
      <c r="J126" s="2" t="s">
        <v>60</v>
      </c>
      <c r="K126" s="2" t="s">
        <v>98</v>
      </c>
      <c r="L126" s="2">
        <v>1</v>
      </c>
      <c r="M126" s="3">
        <v>845000</v>
      </c>
      <c r="N126" s="3">
        <v>1260000</v>
      </c>
      <c r="O126" s="8" t="s">
        <v>63</v>
      </c>
      <c r="P126" s="3">
        <v>805000</v>
      </c>
      <c r="Q126" s="3">
        <v>210000</v>
      </c>
      <c r="R126" s="3">
        <f>IF(V126="No",0,MAX(0,M126-Q126))</f>
        <v>635000</v>
      </c>
      <c r="S126" s="4">
        <v>10.85</v>
      </c>
      <c r="T126" s="2">
        <v>48</v>
      </c>
      <c r="U126" s="3">
        <f>IF(OR(R126&lt;=0,S126&lt;0,T126&lt;=0),"",IF(S126=0,R126/T126,-PMT(S126/1200,T126,R126)))</f>
        <v>16366</v>
      </c>
      <c r="V126" s="2" t="s">
        <v>63</v>
      </c>
      <c r="W126" s="5">
        <v>1462</v>
      </c>
      <c r="X126" s="2">
        <v>102</v>
      </c>
      <c r="Y126" s="4">
        <v>19.8</v>
      </c>
      <c r="Z126" s="5"/>
      <c r="AA126" s="6"/>
      <c r="AB126" s="2">
        <v>5</v>
      </c>
      <c r="AC126" s="2">
        <v>5</v>
      </c>
      <c r="AD126" s="2">
        <v>328</v>
      </c>
      <c r="AE126" s="2" t="s">
        <v>99</v>
      </c>
      <c r="AF126" s="2">
        <v>6</v>
      </c>
      <c r="AG126" s="2" t="s">
        <v>63</v>
      </c>
      <c r="AH126" s="2" t="s">
        <v>63</v>
      </c>
      <c r="AI126" s="2" t="s">
        <v>63</v>
      </c>
      <c r="AJ126" s="2" t="s">
        <v>64</v>
      </c>
      <c r="AK126" s="2" t="s">
        <v>101</v>
      </c>
      <c r="AL126" s="5">
        <v>33500</v>
      </c>
      <c r="AM126" s="2" t="s">
        <v>246</v>
      </c>
      <c r="AN126" s="2" t="s">
        <v>127</v>
      </c>
      <c r="AO126" s="2" t="s">
        <v>127</v>
      </c>
      <c r="AP126" s="2" t="s">
        <v>128</v>
      </c>
      <c r="AQ126" s="2" t="s">
        <v>231</v>
      </c>
      <c r="AR126" s="2" t="s">
        <v>89</v>
      </c>
      <c r="AS126" s="2" t="s">
        <v>63</v>
      </c>
      <c r="AT126" s="2" t="s">
        <v>63</v>
      </c>
      <c r="AU126" s="2" t="s">
        <v>62</v>
      </c>
      <c r="AV126" s="2" t="s">
        <v>106</v>
      </c>
      <c r="AW126" s="2" t="s">
        <v>729</v>
      </c>
      <c r="AX126" s="2" t="s">
        <v>92</v>
      </c>
      <c r="AY126" s="3">
        <v>9500</v>
      </c>
      <c r="AZ126" s="2" t="s">
        <v>76</v>
      </c>
      <c r="BA126" s="2"/>
    </row>
    <row r="127" ht="20" customHeight="1" spans="1:53" x14ac:dyDescent="0.25">
      <c r="A127" s="2" t="s">
        <v>730</v>
      </c>
      <c r="B127" s="2" t="s">
        <v>54</v>
      </c>
      <c r="C127" s="2" t="s">
        <v>109</v>
      </c>
      <c r="D127" s="2" t="s">
        <v>110</v>
      </c>
      <c r="E127" s="2" t="s">
        <v>111</v>
      </c>
      <c r="F127" s="2">
        <v>2017</v>
      </c>
      <c r="G127" s="2">
        <v>2018</v>
      </c>
      <c r="H127" s="2" t="s">
        <v>58</v>
      </c>
      <c r="I127" s="2" t="s">
        <v>59</v>
      </c>
      <c r="J127" s="2" t="s">
        <v>112</v>
      </c>
      <c r="K127" s="2" t="s">
        <v>61</v>
      </c>
      <c r="L127" s="2">
        <v>2</v>
      </c>
      <c r="M127" s="3">
        <v>200000</v>
      </c>
      <c r="N127" s="3">
        <v>535000</v>
      </c>
      <c r="O127" s="8" t="s">
        <v>63</v>
      </c>
      <c r="P127" s="3">
        <v>190000</v>
      </c>
      <c r="Q127" s="3">
        <v>50000</v>
      </c>
      <c r="R127" s="3">
        <f>IF(V127="No",0,MAX(0,M127-Q127))</f>
        <v>150000</v>
      </c>
      <c r="S127" s="4">
        <v>11.6</v>
      </c>
      <c r="T127" s="2">
        <v>60</v>
      </c>
      <c r="U127" s="3">
        <f>IF(OR(R127&lt;=0,S127&lt;0,T127&lt;=0),"",IF(S127=0,R127/T127,-PMT(S127/1200,T127,R127)))</f>
        <v>3306</v>
      </c>
      <c r="V127" s="2" t="s">
        <v>63</v>
      </c>
      <c r="W127" s="5">
        <v>998</v>
      </c>
      <c r="X127" s="2">
        <v>56</v>
      </c>
      <c r="Y127" s="4">
        <v>33.47</v>
      </c>
      <c r="Z127" s="5"/>
      <c r="AA127" s="6"/>
      <c r="AB127" s="2">
        <v>5</v>
      </c>
      <c r="AC127" s="2">
        <v>5</v>
      </c>
      <c r="AD127" s="2">
        <v>341</v>
      </c>
      <c r="AE127" s="2"/>
      <c r="AF127" s="2">
        <v>2</v>
      </c>
      <c r="AG127" s="2" t="s">
        <v>63</v>
      </c>
      <c r="AH127" s="2" t="s">
        <v>62</v>
      </c>
      <c r="AI127" s="2" t="s">
        <v>63</v>
      </c>
      <c r="AJ127" s="2" t="s">
        <v>83</v>
      </c>
      <c r="AK127" s="2" t="s">
        <v>162</v>
      </c>
      <c r="AL127" s="7">
        <v>88600</v>
      </c>
      <c r="AM127" s="2" t="s">
        <v>254</v>
      </c>
      <c r="AN127" s="2" t="s">
        <v>115</v>
      </c>
      <c r="AO127" s="2" t="s">
        <v>140</v>
      </c>
      <c r="AP127" s="2" t="s">
        <v>141</v>
      </c>
      <c r="AQ127" s="2" t="s">
        <v>239</v>
      </c>
      <c r="AR127" s="2" t="s">
        <v>89</v>
      </c>
      <c r="AS127" s="2" t="s">
        <v>63</v>
      </c>
      <c r="AT127" s="2" t="s">
        <v>62</v>
      </c>
      <c r="AU127" s="2" t="s">
        <v>62</v>
      </c>
      <c r="AV127" s="2" t="s">
        <v>118</v>
      </c>
      <c r="AW127" s="2" t="s">
        <v>731</v>
      </c>
      <c r="AX127" s="2" t="s">
        <v>120</v>
      </c>
      <c r="AY127" s="3">
        <v>7500</v>
      </c>
      <c r="AZ127" s="2" t="s">
        <v>76</v>
      </c>
      <c r="BA127" s="2"/>
    </row>
    <row r="128" ht="20" customHeight="1" spans="1:53" x14ac:dyDescent="0.25">
      <c r="A128" s="2" t="s">
        <v>732</v>
      </c>
      <c r="B128" s="2" t="s">
        <v>54</v>
      </c>
      <c r="C128" s="2" t="s">
        <v>122</v>
      </c>
      <c r="D128" s="2" t="s">
        <v>123</v>
      </c>
      <c r="E128" s="2" t="s">
        <v>124</v>
      </c>
      <c r="F128" s="2">
        <v>2024</v>
      </c>
      <c r="G128" s="2">
        <v>2024</v>
      </c>
      <c r="H128" s="2" t="s">
        <v>58</v>
      </c>
      <c r="I128" s="2" t="s">
        <v>125</v>
      </c>
      <c r="J128" s="2" t="s">
        <v>112</v>
      </c>
      <c r="K128" s="2" t="s">
        <v>61</v>
      </c>
      <c r="L128" s="2">
        <v>1</v>
      </c>
      <c r="M128" s="3">
        <v>925000</v>
      </c>
      <c r="N128" s="3">
        <v>1130000</v>
      </c>
      <c r="O128" s="2" t="s">
        <v>62</v>
      </c>
      <c r="P128" s="3">
        <v>925000</v>
      </c>
      <c r="Q128" s="3">
        <v>230000</v>
      </c>
      <c r="R128" s="3">
        <f>IF(V128="No",0,MAX(0,M128-Q128))</f>
        <v>695000</v>
      </c>
      <c r="S128" s="4">
        <v>10.55</v>
      </c>
      <c r="T128" s="2">
        <v>36</v>
      </c>
      <c r="U128" s="3">
        <f>IF(OR(R128&lt;=0,S128&lt;0,T128&lt;=0),"",IF(S128=0,R128/T128,-PMT(S128/1200,T128,R128)))</f>
        <v>22606</v>
      </c>
      <c r="V128" s="2" t="s">
        <v>63</v>
      </c>
      <c r="W128" s="5">
        <v>1462</v>
      </c>
      <c r="X128" s="2">
        <v>87</v>
      </c>
      <c r="Y128" s="4">
        <v>26.11</v>
      </c>
      <c r="Z128" s="5"/>
      <c r="AA128" s="6"/>
      <c r="AB128" s="2">
        <v>7</v>
      </c>
      <c r="AC128" s="2">
        <v>5</v>
      </c>
      <c r="AD128" s="2">
        <v>209</v>
      </c>
      <c r="AE128" s="2"/>
      <c r="AF128" s="2">
        <v>4</v>
      </c>
      <c r="AG128" s="2" t="s">
        <v>63</v>
      </c>
      <c r="AH128" s="2" t="s">
        <v>63</v>
      </c>
      <c r="AI128" s="2" t="s">
        <v>63</v>
      </c>
      <c r="AJ128" s="2" t="s">
        <v>100</v>
      </c>
      <c r="AK128" s="2" t="s">
        <v>84</v>
      </c>
      <c r="AL128" s="5">
        <v>25400</v>
      </c>
      <c r="AM128" s="2" t="s">
        <v>262</v>
      </c>
      <c r="AN128" s="2" t="s">
        <v>67</v>
      </c>
      <c r="AO128" s="2" t="s">
        <v>152</v>
      </c>
      <c r="AP128" s="2" t="s">
        <v>69</v>
      </c>
      <c r="AQ128" s="2" t="s">
        <v>247</v>
      </c>
      <c r="AR128" s="2" t="s">
        <v>71</v>
      </c>
      <c r="AS128" s="2" t="s">
        <v>62</v>
      </c>
      <c r="AT128" s="2" t="s">
        <v>63</v>
      </c>
      <c r="AU128" s="2" t="s">
        <v>62</v>
      </c>
      <c r="AV128" s="2" t="s">
        <v>130</v>
      </c>
      <c r="AW128" s="2" t="s">
        <v>733</v>
      </c>
      <c r="AX128" s="2" t="s">
        <v>92</v>
      </c>
      <c r="AY128" s="3">
        <v>8400</v>
      </c>
      <c r="AZ128" s="2" t="s">
        <v>76</v>
      </c>
      <c r="BA128" s="2"/>
    </row>
    <row r="129" ht="20" customHeight="1" spans="1:53" x14ac:dyDescent="0.25">
      <c r="A129" s="2" t="s">
        <v>734</v>
      </c>
      <c r="B129" s="2" t="s">
        <v>54</v>
      </c>
      <c r="C129" s="2" t="s">
        <v>133</v>
      </c>
      <c r="D129" s="2" t="s">
        <v>134</v>
      </c>
      <c r="E129" s="2" t="s">
        <v>135</v>
      </c>
      <c r="F129" s="2">
        <v>2026</v>
      </c>
      <c r="G129" s="2">
        <v>2026</v>
      </c>
      <c r="H129" s="2" t="s">
        <v>171</v>
      </c>
      <c r="I129" s="2" t="s">
        <v>97</v>
      </c>
      <c r="J129" s="2" t="s">
        <v>136</v>
      </c>
      <c r="K129" s="2" t="s">
        <v>137</v>
      </c>
      <c r="L129" s="2">
        <v>0</v>
      </c>
      <c r="M129" s="3">
        <v>1999000</v>
      </c>
      <c r="N129" s="3">
        <v>2000000</v>
      </c>
      <c r="O129" s="2" t="s">
        <v>62</v>
      </c>
      <c r="P129" s="3">
        <v>1999000</v>
      </c>
      <c r="Q129" s="3">
        <v>400000</v>
      </c>
      <c r="R129" s="3">
        <f>IF(V129="No",0,MAX(0,M129-Q129))</f>
        <v>1599000</v>
      </c>
      <c r="S129" s="4">
        <v>8.95</v>
      </c>
      <c r="T129" s="2">
        <v>72</v>
      </c>
      <c r="U129" s="3">
        <f>IF(OR(R129&lt;=0,S129&lt;0,T129&lt;=0),"",IF(S129=0,R129/T129,-PMT(S129/1200,T129,R129)))</f>
        <v>28783</v>
      </c>
      <c r="V129" s="2" t="s">
        <v>63</v>
      </c>
      <c r="W129" s="5">
        <v>1490</v>
      </c>
      <c r="X129" s="2">
        <v>114</v>
      </c>
      <c r="Y129" s="4">
        <v>27.97</v>
      </c>
      <c r="Z129" s="5"/>
      <c r="AA129" s="6"/>
      <c r="AB129" s="2">
        <v>5</v>
      </c>
      <c r="AC129" s="2">
        <v>5</v>
      </c>
      <c r="AD129" s="2">
        <v>265</v>
      </c>
      <c r="AE129" s="2" t="s">
        <v>138</v>
      </c>
      <c r="AF129" s="2">
        <v>6</v>
      </c>
      <c r="AG129" s="2" t="s">
        <v>63</v>
      </c>
      <c r="AH129" s="2" t="s">
        <v>63</v>
      </c>
      <c r="AI129" s="2" t="s">
        <v>63</v>
      </c>
      <c r="AJ129" s="2" t="s">
        <v>113</v>
      </c>
      <c r="AK129" s="2" t="s">
        <v>171</v>
      </c>
      <c r="AL129" s="5">
        <v>52</v>
      </c>
      <c r="AM129" s="2" t="s">
        <v>735</v>
      </c>
      <c r="AN129" s="2" t="s">
        <v>164</v>
      </c>
      <c r="AO129" s="2" t="s">
        <v>165</v>
      </c>
      <c r="AP129" s="2" t="s">
        <v>69</v>
      </c>
      <c r="AQ129" s="2" t="s">
        <v>255</v>
      </c>
      <c r="AR129" s="2" t="s">
        <v>89</v>
      </c>
      <c r="AS129" s="2" t="s">
        <v>63</v>
      </c>
      <c r="AT129" s="2" t="s">
        <v>63</v>
      </c>
      <c r="AU129" s="2" t="s">
        <v>62</v>
      </c>
      <c r="AV129" s="2" t="s">
        <v>143</v>
      </c>
      <c r="AW129" s="2" t="s">
        <v>736</v>
      </c>
      <c r="AX129" s="2" t="s">
        <v>92</v>
      </c>
      <c r="AY129" s="3">
        <v>9200</v>
      </c>
      <c r="AZ129" s="2" t="s">
        <v>76</v>
      </c>
      <c r="BA129" s="2"/>
    </row>
    <row r="130" ht="20" customHeight="1" spans="1:53" x14ac:dyDescent="0.25">
      <c r="A130" s="2" t="s">
        <v>737</v>
      </c>
      <c r="B130" s="2" t="s">
        <v>54</v>
      </c>
      <c r="C130" s="2" t="s">
        <v>146</v>
      </c>
      <c r="D130" s="2" t="s">
        <v>147</v>
      </c>
      <c r="E130" s="2" t="s">
        <v>148</v>
      </c>
      <c r="F130" s="2">
        <v>2026</v>
      </c>
      <c r="G130" s="2">
        <v>2026</v>
      </c>
      <c r="H130" s="2" t="s">
        <v>171</v>
      </c>
      <c r="I130" s="2" t="s">
        <v>149</v>
      </c>
      <c r="J130" s="2" t="s">
        <v>60</v>
      </c>
      <c r="K130" s="2" t="s">
        <v>81</v>
      </c>
      <c r="L130" s="2">
        <v>0</v>
      </c>
      <c r="M130" s="3">
        <v>1014000</v>
      </c>
      <c r="N130" s="3">
        <v>1015000</v>
      </c>
      <c r="O130" s="8" t="s">
        <v>63</v>
      </c>
      <c r="P130" s="3">
        <v>975000</v>
      </c>
      <c r="Q130" s="3">
        <v>205000</v>
      </c>
      <c r="R130" s="3">
        <f>IF(V130="No",0,MAX(0,M130-Q130))</f>
        <v>809000</v>
      </c>
      <c r="S130" s="4">
        <v>8.95</v>
      </c>
      <c r="T130" s="2">
        <v>84</v>
      </c>
      <c r="U130" s="3">
        <f>IF(OR(R130&lt;=0,S130&lt;0,T130&lt;=0),"",IF(S130=0,R130/T130,-PMT(S130/1200,T130,R130)))</f>
        <v>12996</v>
      </c>
      <c r="V130" s="2" t="s">
        <v>63</v>
      </c>
      <c r="W130" s="5">
        <v>1197</v>
      </c>
      <c r="X130" s="2">
        <v>80</v>
      </c>
      <c r="Y130" s="4">
        <v>25.71</v>
      </c>
      <c r="Z130" s="5"/>
      <c r="AA130" s="6"/>
      <c r="AB130" s="2">
        <v>5</v>
      </c>
      <c r="AC130" s="2">
        <v>4</v>
      </c>
      <c r="AD130" s="2">
        <v>382</v>
      </c>
      <c r="AE130" s="2" t="s">
        <v>150</v>
      </c>
      <c r="AF130" s="2">
        <v>6</v>
      </c>
      <c r="AG130" s="2" t="s">
        <v>63</v>
      </c>
      <c r="AH130" s="2" t="s">
        <v>63</v>
      </c>
      <c r="AI130" s="2" t="s">
        <v>63</v>
      </c>
      <c r="AJ130" s="2" t="s">
        <v>64</v>
      </c>
      <c r="AK130" s="2" t="s">
        <v>171</v>
      </c>
      <c r="AL130" s="5">
        <v>53</v>
      </c>
      <c r="AM130" s="2" t="s">
        <v>738</v>
      </c>
      <c r="AN130" s="2" t="s">
        <v>174</v>
      </c>
      <c r="AO130" s="2" t="s">
        <v>175</v>
      </c>
      <c r="AP130" s="2" t="s">
        <v>69</v>
      </c>
      <c r="AQ130" s="2" t="s">
        <v>263</v>
      </c>
      <c r="AR130" s="2" t="s">
        <v>89</v>
      </c>
      <c r="AS130" s="2" t="s">
        <v>63</v>
      </c>
      <c r="AT130" s="2" t="s">
        <v>63</v>
      </c>
      <c r="AU130" s="2" t="s">
        <v>62</v>
      </c>
      <c r="AV130" s="2" t="s">
        <v>154</v>
      </c>
      <c r="AW130" s="2" t="s">
        <v>739</v>
      </c>
      <c r="AX130" s="2" t="s">
        <v>92</v>
      </c>
      <c r="AY130" s="3">
        <v>6600</v>
      </c>
      <c r="AZ130" s="2" t="s">
        <v>76</v>
      </c>
      <c r="BA130" s="2"/>
    </row>
    <row r="131" ht="20" customHeight="1" spans="1:53" x14ac:dyDescent="0.25">
      <c r="A131" s="2" t="s">
        <v>740</v>
      </c>
      <c r="B131" s="2" t="s">
        <v>157</v>
      </c>
      <c r="C131" s="2" t="s">
        <v>158</v>
      </c>
      <c r="D131" s="2" t="s">
        <v>159</v>
      </c>
      <c r="E131" s="2" t="s">
        <v>160</v>
      </c>
      <c r="F131" s="2">
        <v>2021</v>
      </c>
      <c r="G131" s="2">
        <v>2021</v>
      </c>
      <c r="H131" s="2" t="s">
        <v>58</v>
      </c>
      <c r="I131" s="2" t="s">
        <v>97</v>
      </c>
      <c r="J131" s="2" t="s">
        <v>60</v>
      </c>
      <c r="K131" s="2" t="s">
        <v>161</v>
      </c>
      <c r="L131" s="2">
        <v>2</v>
      </c>
      <c r="M131" s="3">
        <v>1070000</v>
      </c>
      <c r="N131" s="3">
        <v>1765000</v>
      </c>
      <c r="O131" s="2" t="s">
        <v>62</v>
      </c>
      <c r="P131" s="3">
        <v>1070000</v>
      </c>
      <c r="Q131" s="3">
        <v>270000</v>
      </c>
      <c r="R131" s="3">
        <f>IF(V131="No",0,MAX(0,M131-Q131))</f>
        <v>800000</v>
      </c>
      <c r="S131" s="4">
        <v>11</v>
      </c>
      <c r="T131" s="2">
        <v>36</v>
      </c>
      <c r="U131" s="3">
        <f>IF(OR(R131&lt;=0,S131&lt;0,T131&lt;=0),"",IF(S131=0,R131/T131,-PMT(S131/1200,T131,R131)))</f>
        <v>26191</v>
      </c>
      <c r="V131" s="2" t="s">
        <v>63</v>
      </c>
      <c r="W131" s="5">
        <v>1482</v>
      </c>
      <c r="X131" s="2">
        <v>158</v>
      </c>
      <c r="Y131" s="4">
        <v>18.4</v>
      </c>
      <c r="Z131" s="5"/>
      <c r="AA131" s="6"/>
      <c r="AB131" s="2">
        <v>5</v>
      </c>
      <c r="AC131" s="2">
        <v>5</v>
      </c>
      <c r="AD131" s="2">
        <v>433</v>
      </c>
      <c r="AE131" s="2"/>
      <c r="AF131" s="2">
        <v>6</v>
      </c>
      <c r="AG131" s="2" t="s">
        <v>63</v>
      </c>
      <c r="AH131" s="2" t="s">
        <v>63</v>
      </c>
      <c r="AI131" s="2" t="s">
        <v>63</v>
      </c>
      <c r="AJ131" s="2" t="s">
        <v>83</v>
      </c>
      <c r="AK131" s="2" t="s">
        <v>101</v>
      </c>
      <c r="AL131" s="5">
        <v>60000</v>
      </c>
      <c r="AM131" s="2" t="s">
        <v>288</v>
      </c>
      <c r="AN131" s="2" t="s">
        <v>185</v>
      </c>
      <c r="AO131" s="2" t="s">
        <v>186</v>
      </c>
      <c r="AP131" s="2" t="s">
        <v>69</v>
      </c>
      <c r="AQ131" s="2" t="s">
        <v>271</v>
      </c>
      <c r="AR131" s="2" t="s">
        <v>71</v>
      </c>
      <c r="AS131" s="2" t="s">
        <v>63</v>
      </c>
      <c r="AT131" s="2" t="s">
        <v>62</v>
      </c>
      <c r="AU131" s="2" t="s">
        <v>62</v>
      </c>
      <c r="AV131" s="2" t="s">
        <v>167</v>
      </c>
      <c r="AW131" s="2" t="s">
        <v>741</v>
      </c>
      <c r="AX131" s="2" t="s">
        <v>92</v>
      </c>
      <c r="AY131" s="3">
        <v>11800</v>
      </c>
      <c r="AZ131" s="2" t="s">
        <v>76</v>
      </c>
      <c r="BA131" s="2"/>
    </row>
    <row r="132" ht="20" customHeight="1" spans="1:53" x14ac:dyDescent="0.25">
      <c r="A132" s="2" t="s">
        <v>742</v>
      </c>
      <c r="B132" s="2" t="s">
        <v>157</v>
      </c>
      <c r="C132" s="2" t="s">
        <v>158</v>
      </c>
      <c r="D132" s="2" t="s">
        <v>159</v>
      </c>
      <c r="E132" s="2" t="s">
        <v>170</v>
      </c>
      <c r="F132" s="2">
        <v>2016</v>
      </c>
      <c r="G132" s="2">
        <v>2017</v>
      </c>
      <c r="H132" s="2" t="s">
        <v>58</v>
      </c>
      <c r="I132" s="2" t="s">
        <v>97</v>
      </c>
      <c r="J132" s="2" t="s">
        <v>172</v>
      </c>
      <c r="K132" s="2" t="s">
        <v>98</v>
      </c>
      <c r="L132" s="2">
        <v>2</v>
      </c>
      <c r="M132" s="3">
        <v>480000</v>
      </c>
      <c r="N132" s="3">
        <v>1435000</v>
      </c>
      <c r="O132" s="8" t="s">
        <v>63</v>
      </c>
      <c r="P132" s="3">
        <v>455000</v>
      </c>
      <c r="Q132" s="3">
        <v>120000</v>
      </c>
      <c r="R132" s="3">
        <f>IF(V132="No",0,MAX(0,M132-Q132))</f>
        <v>360000</v>
      </c>
      <c r="S132" s="4">
        <v>11.75</v>
      </c>
      <c r="T132" s="2">
        <v>48</v>
      </c>
      <c r="U132" s="3">
        <f>IF(OR(R132&lt;=0,S132&lt;0,T132&lt;=0),"",IF(S132=0,R132/T132,-PMT(S132/1200,T132,R132)))</f>
        <v>9436</v>
      </c>
      <c r="V132" s="2" t="s">
        <v>63</v>
      </c>
      <c r="W132" s="5">
        <v>1493</v>
      </c>
      <c r="X132" s="2">
        <v>114</v>
      </c>
      <c r="Y132" s="4">
        <v>19.1</v>
      </c>
      <c r="Z132" s="5"/>
      <c r="AA132" s="6"/>
      <c r="AB132" s="2">
        <v>5</v>
      </c>
      <c r="AC132" s="2">
        <v>5</v>
      </c>
      <c r="AD132" s="2">
        <v>433</v>
      </c>
      <c r="AE132" s="2"/>
      <c r="AF132" s="2">
        <v>6</v>
      </c>
      <c r="AG132" s="2" t="s">
        <v>63</v>
      </c>
      <c r="AH132" s="2" t="s">
        <v>63</v>
      </c>
      <c r="AI132" s="2" t="s">
        <v>63</v>
      </c>
      <c r="AJ132" s="2" t="s">
        <v>100</v>
      </c>
      <c r="AK132" s="2" t="s">
        <v>65</v>
      </c>
      <c r="AL132" s="7">
        <v>127300</v>
      </c>
      <c r="AM132" s="2" t="s">
        <v>296</v>
      </c>
      <c r="AN132" s="2" t="s">
        <v>67</v>
      </c>
      <c r="AO132" s="2" t="s">
        <v>68</v>
      </c>
      <c r="AP132" s="2" t="s">
        <v>128</v>
      </c>
      <c r="AQ132" s="2" t="s">
        <v>280</v>
      </c>
      <c r="AR132" s="2" t="s">
        <v>89</v>
      </c>
      <c r="AS132" s="2" t="s">
        <v>63</v>
      </c>
      <c r="AT132" s="2" t="s">
        <v>62</v>
      </c>
      <c r="AU132" s="2" t="s">
        <v>62</v>
      </c>
      <c r="AV132" s="2" t="s">
        <v>177</v>
      </c>
      <c r="AW132" s="2" t="s">
        <v>743</v>
      </c>
      <c r="AX132" s="2" t="s">
        <v>92</v>
      </c>
      <c r="AY132" s="3">
        <v>14700</v>
      </c>
      <c r="AZ132" s="2" t="s">
        <v>76</v>
      </c>
      <c r="BA132" s="2"/>
    </row>
    <row r="133" ht="20" customHeight="1" spans="1:53" x14ac:dyDescent="0.25">
      <c r="A133" s="2" t="s">
        <v>744</v>
      </c>
      <c r="B133" s="2" t="s">
        <v>157</v>
      </c>
      <c r="C133" s="2" t="s">
        <v>180</v>
      </c>
      <c r="D133" s="2" t="s">
        <v>181</v>
      </c>
      <c r="E133" s="2" t="s">
        <v>182</v>
      </c>
      <c r="F133" s="2">
        <v>2023</v>
      </c>
      <c r="G133" s="2">
        <v>2023</v>
      </c>
      <c r="H133" s="2" t="s">
        <v>58</v>
      </c>
      <c r="I133" s="2" t="s">
        <v>59</v>
      </c>
      <c r="J133" s="2" t="s">
        <v>60</v>
      </c>
      <c r="K133" s="2" t="s">
        <v>137</v>
      </c>
      <c r="L133" s="2">
        <v>1</v>
      </c>
      <c r="M133" s="3">
        <v>765000</v>
      </c>
      <c r="N133" s="3">
        <v>1035000</v>
      </c>
      <c r="O133" s="8" t="s">
        <v>63</v>
      </c>
      <c r="P133" s="3">
        <v>735000</v>
      </c>
      <c r="Q133" s="3">
        <v>190000</v>
      </c>
      <c r="R133" s="3">
        <f>IF(V133="No",0,MAX(0,M133-Q133))</f>
        <v>575000</v>
      </c>
      <c r="S133" s="4">
        <v>10.7</v>
      </c>
      <c r="T133" s="2">
        <v>60</v>
      </c>
      <c r="U133" s="3">
        <f>IF(OR(R133&lt;=0,S133&lt;0,T133&lt;=0),"",IF(S133=0,R133/T133,-PMT(S133/1200,T133,R133)))</f>
        <v>12416</v>
      </c>
      <c r="V133" s="2" t="s">
        <v>63</v>
      </c>
      <c r="W133" s="5">
        <v>1197</v>
      </c>
      <c r="X133" s="2">
        <v>87</v>
      </c>
      <c r="Y133" s="4">
        <v>19.65</v>
      </c>
      <c r="Z133" s="5"/>
      <c r="AA133" s="6"/>
      <c r="AB133" s="2">
        <v>5</v>
      </c>
      <c r="AC133" s="2">
        <v>5</v>
      </c>
      <c r="AD133" s="2">
        <v>311</v>
      </c>
      <c r="AE133" s="2" t="s">
        <v>183</v>
      </c>
      <c r="AF133" s="2">
        <v>6</v>
      </c>
      <c r="AG133" s="2" t="s">
        <v>63</v>
      </c>
      <c r="AH133" s="2" t="s">
        <v>63</v>
      </c>
      <c r="AI133" s="2" t="s">
        <v>63</v>
      </c>
      <c r="AJ133" s="2" t="s">
        <v>113</v>
      </c>
      <c r="AK133" s="2" t="s">
        <v>84</v>
      </c>
      <c r="AL133" s="5">
        <v>23800</v>
      </c>
      <c r="AM133" s="2" t="s">
        <v>617</v>
      </c>
      <c r="AN133" s="2" t="s">
        <v>86</v>
      </c>
      <c r="AO133" s="2" t="s">
        <v>87</v>
      </c>
      <c r="AP133" s="2" t="s">
        <v>141</v>
      </c>
      <c r="AQ133" s="2" t="s">
        <v>289</v>
      </c>
      <c r="AR133" s="2" t="s">
        <v>89</v>
      </c>
      <c r="AS133" s="2" t="s">
        <v>63</v>
      </c>
      <c r="AT133" s="2" t="s">
        <v>63</v>
      </c>
      <c r="AU133" s="2" t="s">
        <v>62</v>
      </c>
      <c r="AV133" s="2" t="s">
        <v>188</v>
      </c>
      <c r="AW133" s="2" t="s">
        <v>745</v>
      </c>
      <c r="AX133" s="2" t="s">
        <v>75</v>
      </c>
      <c r="AY133" s="3">
        <v>8300</v>
      </c>
      <c r="AZ133" s="2" t="s">
        <v>76</v>
      </c>
      <c r="BA133" s="2"/>
    </row>
    <row r="134" ht="20" customHeight="1" spans="1:53" x14ac:dyDescent="0.25">
      <c r="A134" s="2" t="s">
        <v>746</v>
      </c>
      <c r="B134" s="2" t="s">
        <v>157</v>
      </c>
      <c r="C134" s="2" t="s">
        <v>191</v>
      </c>
      <c r="D134" s="2" t="s">
        <v>192</v>
      </c>
      <c r="E134" s="2" t="s">
        <v>160</v>
      </c>
      <c r="F134" s="2">
        <v>2018</v>
      </c>
      <c r="G134" s="2">
        <v>2018</v>
      </c>
      <c r="H134" s="2" t="s">
        <v>58</v>
      </c>
      <c r="I134" s="2" t="s">
        <v>149</v>
      </c>
      <c r="J134" s="2" t="s">
        <v>60</v>
      </c>
      <c r="K134" s="2" t="s">
        <v>161</v>
      </c>
      <c r="L134" s="2">
        <v>3</v>
      </c>
      <c r="M134" s="3">
        <v>570000</v>
      </c>
      <c r="N134" s="3">
        <v>1395000</v>
      </c>
      <c r="O134" s="2" t="s">
        <v>62</v>
      </c>
      <c r="P134" s="3">
        <v>570000</v>
      </c>
      <c r="Q134" s="3">
        <v>145000</v>
      </c>
      <c r="R134" s="3">
        <f>IF(V134="No",0,MAX(0,M134-Q134))</f>
        <v>425000</v>
      </c>
      <c r="S134" s="4">
        <v>11.45</v>
      </c>
      <c r="T134" s="2">
        <v>36</v>
      </c>
      <c r="U134" s="3">
        <f>IF(OR(R134&lt;=0,S134&lt;0,T134&lt;=0),"",IF(S134=0,R134/T134,-PMT(S134/1200,T134,R134)))</f>
        <v>14005</v>
      </c>
      <c r="V134" s="2" t="s">
        <v>63</v>
      </c>
      <c r="W134" s="5">
        <v>1482</v>
      </c>
      <c r="X134" s="2">
        <v>158</v>
      </c>
      <c r="Y134" s="4">
        <v>20.6</v>
      </c>
      <c r="Z134" s="5"/>
      <c r="AA134" s="6"/>
      <c r="AB134" s="2">
        <v>5</v>
      </c>
      <c r="AC134" s="2">
        <v>4</v>
      </c>
      <c r="AD134" s="2">
        <v>528</v>
      </c>
      <c r="AE134" s="2" t="s">
        <v>150</v>
      </c>
      <c r="AF134" s="2">
        <v>6</v>
      </c>
      <c r="AG134" s="2" t="s">
        <v>63</v>
      </c>
      <c r="AH134" s="2" t="s">
        <v>63</v>
      </c>
      <c r="AI134" s="2" t="s">
        <v>63</v>
      </c>
      <c r="AJ134" s="2" t="s">
        <v>64</v>
      </c>
      <c r="AK134" s="2" t="s">
        <v>162</v>
      </c>
      <c r="AL134" s="7">
        <v>83300</v>
      </c>
      <c r="AM134" s="2" t="s">
        <v>310</v>
      </c>
      <c r="AN134" s="2" t="s">
        <v>103</v>
      </c>
      <c r="AO134" s="2" t="s">
        <v>104</v>
      </c>
      <c r="AP134" s="2" t="s">
        <v>69</v>
      </c>
      <c r="AQ134" s="2" t="s">
        <v>70</v>
      </c>
      <c r="AR134" s="2" t="s">
        <v>71</v>
      </c>
      <c r="AS134" s="2" t="s">
        <v>63</v>
      </c>
      <c r="AT134" s="2" t="s">
        <v>62</v>
      </c>
      <c r="AU134" s="2" t="s">
        <v>62</v>
      </c>
      <c r="AV134" s="2" t="s">
        <v>195</v>
      </c>
      <c r="AW134" s="2" t="s">
        <v>747</v>
      </c>
      <c r="AX134" s="2" t="s">
        <v>197</v>
      </c>
      <c r="AY134" s="3">
        <v>12000</v>
      </c>
      <c r="AZ134" s="2" t="s">
        <v>76</v>
      </c>
      <c r="BA134" s="2"/>
    </row>
    <row r="135" ht="20" customHeight="1" spans="1:53" x14ac:dyDescent="0.25">
      <c r="A135" s="2" t="s">
        <v>748</v>
      </c>
      <c r="B135" s="2" t="s">
        <v>157</v>
      </c>
      <c r="C135" s="2" t="s">
        <v>199</v>
      </c>
      <c r="D135" s="2" t="s">
        <v>200</v>
      </c>
      <c r="E135" s="2" t="s">
        <v>201</v>
      </c>
      <c r="F135" s="2">
        <v>2025</v>
      </c>
      <c r="G135" s="2">
        <v>2025</v>
      </c>
      <c r="H135" s="2" t="s">
        <v>58</v>
      </c>
      <c r="I135" s="2" t="s">
        <v>97</v>
      </c>
      <c r="J135" s="2" t="s">
        <v>60</v>
      </c>
      <c r="K135" s="2" t="s">
        <v>161</v>
      </c>
      <c r="L135" s="2">
        <v>1</v>
      </c>
      <c r="M135" s="3">
        <v>1190000</v>
      </c>
      <c r="N135" s="3">
        <v>1315000</v>
      </c>
      <c r="O135" s="8" t="s">
        <v>63</v>
      </c>
      <c r="P135" s="3">
        <v>1130000</v>
      </c>
      <c r="Q135" s="3">
        <v>300000</v>
      </c>
      <c r="R135" s="3">
        <f>IF(V135="No",0,MAX(0,M135-Q135))</f>
        <v>890000</v>
      </c>
      <c r="S135" s="4">
        <v>10.4</v>
      </c>
      <c r="T135" s="2">
        <v>48</v>
      </c>
      <c r="U135" s="3">
        <f>IF(OR(R135&lt;=0,S135&lt;0,T135&lt;=0),"",IF(S135=0,R135/T135,-PMT(S135/1200,T135,R135)))</f>
        <v>22744</v>
      </c>
      <c r="V135" s="2" t="s">
        <v>63</v>
      </c>
      <c r="W135" s="5">
        <v>998</v>
      </c>
      <c r="X135" s="2">
        <v>118</v>
      </c>
      <c r="Y135" s="4">
        <v>18.31</v>
      </c>
      <c r="Z135" s="5"/>
      <c r="AA135" s="6"/>
      <c r="AB135" s="2">
        <v>5</v>
      </c>
      <c r="AC135" s="2">
        <v>5</v>
      </c>
      <c r="AD135" s="2">
        <v>350</v>
      </c>
      <c r="AE135" s="2"/>
      <c r="AF135" s="2">
        <v>6</v>
      </c>
      <c r="AG135" s="2" t="s">
        <v>63</v>
      </c>
      <c r="AH135" s="2" t="s">
        <v>63</v>
      </c>
      <c r="AI135" s="2" t="s">
        <v>63</v>
      </c>
      <c r="AJ135" s="2" t="s">
        <v>83</v>
      </c>
      <c r="AK135" s="2" t="s">
        <v>84</v>
      </c>
      <c r="AL135" s="5">
        <v>8700</v>
      </c>
      <c r="AM135" s="2" t="s">
        <v>317</v>
      </c>
      <c r="AN135" s="2" t="s">
        <v>115</v>
      </c>
      <c r="AO135" s="2" t="s">
        <v>116</v>
      </c>
      <c r="AP135" s="2" t="s">
        <v>69</v>
      </c>
      <c r="AQ135" s="2" t="s">
        <v>88</v>
      </c>
      <c r="AR135" s="2" t="s">
        <v>89</v>
      </c>
      <c r="AS135" s="2" t="s">
        <v>62</v>
      </c>
      <c r="AT135" s="2" t="s">
        <v>63</v>
      </c>
      <c r="AU135" s="2" t="s">
        <v>62</v>
      </c>
      <c r="AV135" s="2" t="s">
        <v>204</v>
      </c>
      <c r="AW135" s="2" t="s">
        <v>749</v>
      </c>
      <c r="AX135" s="2" t="s">
        <v>75</v>
      </c>
      <c r="AY135" s="3">
        <v>8300</v>
      </c>
      <c r="AZ135" s="2" t="s">
        <v>76</v>
      </c>
      <c r="BA135" s="2"/>
    </row>
    <row r="136" ht="20" customHeight="1" spans="1:53" x14ac:dyDescent="0.25">
      <c r="A136" s="9" t="s">
        <v>750</v>
      </c>
      <c r="B136" s="9" t="s">
        <v>157</v>
      </c>
      <c r="C136" s="9" t="s">
        <v>207</v>
      </c>
      <c r="D136" s="9" t="s">
        <v>208</v>
      </c>
      <c r="E136" s="9" t="s">
        <v>209</v>
      </c>
      <c r="F136" s="9">
        <v>2025</v>
      </c>
      <c r="G136" s="9">
        <v>2025</v>
      </c>
      <c r="H136" s="9" t="s">
        <v>58</v>
      </c>
      <c r="I136" s="9" t="s">
        <v>97</v>
      </c>
      <c r="J136" s="9" t="s">
        <v>210</v>
      </c>
      <c r="K136" s="9" t="s">
        <v>98</v>
      </c>
      <c r="L136" s="9">
        <v>1</v>
      </c>
      <c r="M136" s="10">
        <v>4065000</v>
      </c>
      <c r="N136" s="10">
        <v>4490000</v>
      </c>
      <c r="O136" s="8" t="s">
        <v>63</v>
      </c>
      <c r="P136" s="10">
        <v>3900000</v>
      </c>
      <c r="Q136" s="10">
        <v>1015000</v>
      </c>
      <c r="R136" s="10">
        <f>IF(V136="No",0,MAX(0,M136-Q136))</f>
        <v>3050000</v>
      </c>
      <c r="S136" s="11">
        <v>10.4</v>
      </c>
      <c r="T136" s="9">
        <v>60</v>
      </c>
      <c r="U136" s="10">
        <f>IF(OR(R136&lt;=0,S136&lt;0,T136&lt;=0),"",IF(S136=0,R136/T136,-PMT(S136/1200,T136,R136)))</f>
        <v>65405</v>
      </c>
      <c r="V136" s="9" t="s">
        <v>63</v>
      </c>
      <c r="W136" s="12"/>
      <c r="X136" s="9">
        <v>215</v>
      </c>
      <c r="Y136" s="11"/>
      <c r="Z136" s="12">
        <v>631</v>
      </c>
      <c r="AA136" s="13">
        <v>72.6</v>
      </c>
      <c r="AB136" s="9">
        <v>5</v>
      </c>
      <c r="AC136" s="9">
        <v>5</v>
      </c>
      <c r="AD136" s="9">
        <v>527</v>
      </c>
      <c r="AE136" s="9" t="s">
        <v>211</v>
      </c>
      <c r="AF136" s="9">
        <v>6</v>
      </c>
      <c r="AG136" s="9" t="s">
        <v>63</v>
      </c>
      <c r="AH136" s="9" t="s">
        <v>63</v>
      </c>
      <c r="AI136" s="9" t="s">
        <v>63</v>
      </c>
      <c r="AJ136" s="9" t="s">
        <v>100</v>
      </c>
      <c r="AK136" s="9" t="s">
        <v>84</v>
      </c>
      <c r="AL136" s="12">
        <v>10000</v>
      </c>
      <c r="AM136" s="9" t="s">
        <v>325</v>
      </c>
      <c r="AN136" s="9" t="s">
        <v>127</v>
      </c>
      <c r="AO136" s="9" t="s">
        <v>127</v>
      </c>
      <c r="AP136" s="9" t="s">
        <v>69</v>
      </c>
      <c r="AQ136" s="9" t="s">
        <v>105</v>
      </c>
      <c r="AR136" s="9" t="s">
        <v>89</v>
      </c>
      <c r="AS136" s="9" t="s">
        <v>63</v>
      </c>
      <c r="AT136" s="9" t="s">
        <v>63</v>
      </c>
      <c r="AU136" s="9" t="s">
        <v>62</v>
      </c>
      <c r="AV136" s="9" t="s">
        <v>214</v>
      </c>
      <c r="AW136" s="9" t="s">
        <v>751</v>
      </c>
      <c r="AX136" s="9" t="s">
        <v>197</v>
      </c>
      <c r="AY136" s="10">
        <v>6400</v>
      </c>
      <c r="AZ136" s="9" t="s">
        <v>76</v>
      </c>
      <c r="BA136" s="9"/>
    </row>
    <row r="137" ht="20" customHeight="1" spans="1:53" x14ac:dyDescent="0.25">
      <c r="A137" s="2" t="s">
        <v>752</v>
      </c>
      <c r="B137" s="2" t="s">
        <v>157</v>
      </c>
      <c r="C137" s="2" t="s">
        <v>217</v>
      </c>
      <c r="D137" s="2" t="s">
        <v>218</v>
      </c>
      <c r="E137" s="2" t="s">
        <v>219</v>
      </c>
      <c r="F137" s="2">
        <v>2015</v>
      </c>
      <c r="G137" s="2">
        <v>2016</v>
      </c>
      <c r="H137" s="2" t="s">
        <v>58</v>
      </c>
      <c r="I137" s="2" t="s">
        <v>59</v>
      </c>
      <c r="J137" s="2" t="s">
        <v>112</v>
      </c>
      <c r="K137" s="2" t="s">
        <v>61</v>
      </c>
      <c r="L137" s="2">
        <v>2</v>
      </c>
      <c r="M137" s="3">
        <v>180000</v>
      </c>
      <c r="N137" s="3">
        <v>600000</v>
      </c>
      <c r="O137" s="2" t="s">
        <v>62</v>
      </c>
      <c r="P137" s="3">
        <v>180000</v>
      </c>
      <c r="Q137" s="3">
        <v>45000</v>
      </c>
      <c r="R137" s="3">
        <f>IF(V137="No",0,MAX(0,M137-Q137))</f>
        <v>0</v>
      </c>
      <c r="S137" s="4">
        <v>0</v>
      </c>
      <c r="T137" s="2">
        <v>0</v>
      </c>
      <c r="U137" s="3" t="str">
        <f>IF(OR(R137&lt;=0,S137&lt;0,T137&lt;=0),"",IF(S137=0,R137/T137,-PMT(S137/1200,T137,R137)))</f>
        <v/>
      </c>
      <c r="V137" s="2" t="s">
        <v>62</v>
      </c>
      <c r="W137" s="5">
        <v>1197</v>
      </c>
      <c r="X137" s="2">
        <v>68</v>
      </c>
      <c r="Y137" s="4">
        <v>27.3</v>
      </c>
      <c r="Z137" s="5"/>
      <c r="AA137" s="6"/>
      <c r="AB137" s="2">
        <v>5</v>
      </c>
      <c r="AC137" s="2">
        <v>5</v>
      </c>
      <c r="AD137" s="2">
        <v>240</v>
      </c>
      <c r="AE137" s="2"/>
      <c r="AF137" s="2">
        <v>6</v>
      </c>
      <c r="AG137" s="2" t="s">
        <v>63</v>
      </c>
      <c r="AH137" s="2" t="s">
        <v>63</v>
      </c>
      <c r="AI137" s="2" t="s">
        <v>63</v>
      </c>
      <c r="AJ137" s="2" t="s">
        <v>113</v>
      </c>
      <c r="AK137" s="2" t="s">
        <v>65</v>
      </c>
      <c r="AL137" s="7">
        <v>147200</v>
      </c>
      <c r="AM137" s="2" t="s">
        <v>332</v>
      </c>
      <c r="AN137" s="2" t="s">
        <v>115</v>
      </c>
      <c r="AO137" s="2" t="s">
        <v>140</v>
      </c>
      <c r="AP137" s="2" t="s">
        <v>69</v>
      </c>
      <c r="AQ137" s="2" t="s">
        <v>117</v>
      </c>
      <c r="AR137" s="2" t="s">
        <v>71</v>
      </c>
      <c r="AS137" s="2" t="s">
        <v>63</v>
      </c>
      <c r="AT137" s="2" t="s">
        <v>62</v>
      </c>
      <c r="AU137" s="2" t="s">
        <v>72</v>
      </c>
      <c r="AV137" s="2" t="s">
        <v>222</v>
      </c>
      <c r="AW137" s="2" t="s">
        <v>753</v>
      </c>
      <c r="AX137" s="2" t="s">
        <v>120</v>
      </c>
      <c r="AY137" s="3">
        <v>8900</v>
      </c>
      <c r="AZ137" s="2" t="s">
        <v>76</v>
      </c>
      <c r="BA137" s="2"/>
    </row>
    <row r="138" ht="20" customHeight="1" spans="1:53" x14ac:dyDescent="0.25">
      <c r="A138" s="2" t="s">
        <v>754</v>
      </c>
      <c r="B138" s="2" t="s">
        <v>225</v>
      </c>
      <c r="C138" s="2" t="s">
        <v>226</v>
      </c>
      <c r="D138" s="2" t="s">
        <v>227</v>
      </c>
      <c r="E138" s="2" t="s">
        <v>228</v>
      </c>
      <c r="F138" s="2">
        <v>2022</v>
      </c>
      <c r="G138" s="2">
        <v>2022</v>
      </c>
      <c r="H138" s="2" t="s">
        <v>58</v>
      </c>
      <c r="I138" s="2" t="s">
        <v>97</v>
      </c>
      <c r="J138" s="2" t="s">
        <v>60</v>
      </c>
      <c r="K138" s="2" t="s">
        <v>161</v>
      </c>
      <c r="L138" s="2">
        <v>1</v>
      </c>
      <c r="M138" s="3">
        <v>890000</v>
      </c>
      <c r="N138" s="3">
        <v>1330000</v>
      </c>
      <c r="O138" s="8" t="s">
        <v>63</v>
      </c>
      <c r="P138" s="3">
        <v>845000</v>
      </c>
      <c r="Q138" s="3">
        <v>225000</v>
      </c>
      <c r="R138" s="3">
        <f>IF(V138="No",0,MAX(0,M138-Q138))</f>
        <v>665000</v>
      </c>
      <c r="S138" s="4">
        <v>10.85</v>
      </c>
      <c r="T138" s="2">
        <v>48</v>
      </c>
      <c r="U138" s="3">
        <f>IF(OR(R138&lt;=0,S138&lt;0,T138&lt;=0),"",IF(S138=0,R138/T138,-PMT(S138/1200,T138,R138)))</f>
        <v>17139</v>
      </c>
      <c r="V138" s="2" t="s">
        <v>63</v>
      </c>
      <c r="W138" s="5">
        <v>1199</v>
      </c>
      <c r="X138" s="2">
        <v>118</v>
      </c>
      <c r="Y138" s="4">
        <v>17.01</v>
      </c>
      <c r="Z138" s="5"/>
      <c r="AA138" s="6"/>
      <c r="AB138" s="2">
        <v>5</v>
      </c>
      <c r="AC138" s="2">
        <v>5</v>
      </c>
      <c r="AD138" s="2">
        <v>382</v>
      </c>
      <c r="AE138" s="2" t="s">
        <v>229</v>
      </c>
      <c r="AF138" s="2">
        <v>6</v>
      </c>
      <c r="AG138" s="2" t="s">
        <v>63</v>
      </c>
      <c r="AH138" s="2" t="s">
        <v>63</v>
      </c>
      <c r="AI138" s="2" t="s">
        <v>63</v>
      </c>
      <c r="AJ138" s="2" t="s">
        <v>64</v>
      </c>
      <c r="AK138" s="2" t="s">
        <v>101</v>
      </c>
      <c r="AL138" s="5">
        <v>40600</v>
      </c>
      <c r="AM138" s="2" t="s">
        <v>339</v>
      </c>
      <c r="AN138" s="2" t="s">
        <v>67</v>
      </c>
      <c r="AO138" s="2" t="s">
        <v>152</v>
      </c>
      <c r="AP138" s="2" t="s">
        <v>128</v>
      </c>
      <c r="AQ138" s="2" t="s">
        <v>129</v>
      </c>
      <c r="AR138" s="2" t="s">
        <v>89</v>
      </c>
      <c r="AS138" s="2" t="s">
        <v>63</v>
      </c>
      <c r="AT138" s="2" t="s">
        <v>63</v>
      </c>
      <c r="AU138" s="2" t="s">
        <v>62</v>
      </c>
      <c r="AV138" s="2" t="s">
        <v>232</v>
      </c>
      <c r="AW138" s="2" t="s">
        <v>755</v>
      </c>
      <c r="AX138" s="2" t="s">
        <v>92</v>
      </c>
      <c r="AY138" s="3">
        <v>9900</v>
      </c>
      <c r="AZ138" s="2" t="s">
        <v>76</v>
      </c>
      <c r="BA138" s="2"/>
    </row>
    <row r="139" ht="20" customHeight="1" spans="1:53" x14ac:dyDescent="0.25">
      <c r="A139" s="9" t="s">
        <v>756</v>
      </c>
      <c r="B139" s="9" t="s">
        <v>225</v>
      </c>
      <c r="C139" s="9" t="s">
        <v>235</v>
      </c>
      <c r="D139" s="9" t="s">
        <v>236</v>
      </c>
      <c r="E139" s="9" t="s">
        <v>237</v>
      </c>
      <c r="F139" s="9">
        <v>2026</v>
      </c>
      <c r="G139" s="9">
        <v>2026</v>
      </c>
      <c r="H139" s="9" t="s">
        <v>171</v>
      </c>
      <c r="I139" s="9" t="s">
        <v>97</v>
      </c>
      <c r="J139" s="9" t="s">
        <v>210</v>
      </c>
      <c r="K139" s="9" t="s">
        <v>98</v>
      </c>
      <c r="L139" s="9">
        <v>0</v>
      </c>
      <c r="M139" s="10">
        <v>1699000</v>
      </c>
      <c r="N139" s="10">
        <v>1700000</v>
      </c>
      <c r="O139" s="9" t="s">
        <v>62</v>
      </c>
      <c r="P139" s="10">
        <v>1699000</v>
      </c>
      <c r="Q139" s="10">
        <v>340000</v>
      </c>
      <c r="R139" s="10">
        <f>IF(V139="No",0,MAX(0,M139-Q139))</f>
        <v>1359000</v>
      </c>
      <c r="S139" s="11">
        <v>8.65</v>
      </c>
      <c r="T139" s="9">
        <v>84</v>
      </c>
      <c r="U139" s="10">
        <f>IF(OR(R139&lt;=0,S139&lt;0,T139&lt;=0),"",IF(S139=0,R139/T139,-PMT(S139/1200,T139,R139)))</f>
        <v>21624</v>
      </c>
      <c r="V139" s="9" t="s">
        <v>63</v>
      </c>
      <c r="W139" s="12"/>
      <c r="X139" s="9">
        <v>142</v>
      </c>
      <c r="Y139" s="11"/>
      <c r="Z139" s="12">
        <v>489</v>
      </c>
      <c r="AA139" s="13">
        <v>45</v>
      </c>
      <c r="AB139" s="9">
        <v>5</v>
      </c>
      <c r="AC139" s="9">
        <v>5</v>
      </c>
      <c r="AD139" s="9">
        <v>350</v>
      </c>
      <c r="AE139" s="9" t="s">
        <v>138</v>
      </c>
      <c r="AF139" s="9">
        <v>6</v>
      </c>
      <c r="AG139" s="9" t="s">
        <v>63</v>
      </c>
      <c r="AH139" s="9" t="s">
        <v>63</v>
      </c>
      <c r="AI139" s="9" t="s">
        <v>63</v>
      </c>
      <c r="AJ139" s="9" t="s">
        <v>83</v>
      </c>
      <c r="AK139" s="9" t="s">
        <v>171</v>
      </c>
      <c r="AL139" s="12">
        <v>17</v>
      </c>
      <c r="AM139" s="9" t="s">
        <v>757</v>
      </c>
      <c r="AN139" s="9" t="s">
        <v>164</v>
      </c>
      <c r="AO139" s="9" t="s">
        <v>165</v>
      </c>
      <c r="AP139" s="9" t="s">
        <v>141</v>
      </c>
      <c r="AQ139" s="9" t="s">
        <v>142</v>
      </c>
      <c r="AR139" s="9" t="s">
        <v>89</v>
      </c>
      <c r="AS139" s="9" t="s">
        <v>63</v>
      </c>
      <c r="AT139" s="9" t="s">
        <v>63</v>
      </c>
      <c r="AU139" s="9" t="s">
        <v>62</v>
      </c>
      <c r="AV139" s="9" t="s">
        <v>240</v>
      </c>
      <c r="AW139" s="9" t="s">
        <v>758</v>
      </c>
      <c r="AX139" s="9" t="s">
        <v>75</v>
      </c>
      <c r="AY139" s="10">
        <v>4800</v>
      </c>
      <c r="AZ139" s="9" t="s">
        <v>76</v>
      </c>
      <c r="BA139" s="9"/>
    </row>
    <row r="140" ht="20" customHeight="1" spans="1:53" x14ac:dyDescent="0.25">
      <c r="A140" s="2" t="s">
        <v>759</v>
      </c>
      <c r="B140" s="2" t="s">
        <v>225</v>
      </c>
      <c r="C140" s="2" t="s">
        <v>243</v>
      </c>
      <c r="D140" s="2" t="s">
        <v>244</v>
      </c>
      <c r="E140" s="2" t="s">
        <v>245</v>
      </c>
      <c r="F140" s="2">
        <v>2024</v>
      </c>
      <c r="G140" s="2">
        <v>2024</v>
      </c>
      <c r="H140" s="2" t="s">
        <v>58</v>
      </c>
      <c r="I140" s="2" t="s">
        <v>97</v>
      </c>
      <c r="J140" s="2" t="s">
        <v>112</v>
      </c>
      <c r="K140" s="2" t="s">
        <v>61</v>
      </c>
      <c r="L140" s="2">
        <v>1</v>
      </c>
      <c r="M140" s="3">
        <v>765000</v>
      </c>
      <c r="N140" s="3">
        <v>935000</v>
      </c>
      <c r="O140" s="2" t="s">
        <v>62</v>
      </c>
      <c r="P140" s="3">
        <v>765000</v>
      </c>
      <c r="Q140" s="3">
        <v>190000</v>
      </c>
      <c r="R140" s="3">
        <f>IF(V140="No",0,MAX(0,M140-Q140))</f>
        <v>575000</v>
      </c>
      <c r="S140" s="4">
        <v>10.55</v>
      </c>
      <c r="T140" s="2">
        <v>36</v>
      </c>
      <c r="U140" s="3">
        <f>IF(OR(R140&lt;=0,S140&lt;0,T140&lt;=0),"",IF(S140=0,R140/T140,-PMT(S140/1200,T140,R140)))</f>
        <v>18702</v>
      </c>
      <c r="V140" s="2" t="s">
        <v>63</v>
      </c>
      <c r="W140" s="5">
        <v>1199</v>
      </c>
      <c r="X140" s="2">
        <v>72</v>
      </c>
      <c r="Y140" s="4">
        <v>26.99</v>
      </c>
      <c r="Z140" s="5"/>
      <c r="AA140" s="6"/>
      <c r="AB140" s="2">
        <v>5</v>
      </c>
      <c r="AC140" s="2">
        <v>5</v>
      </c>
      <c r="AD140" s="2">
        <v>210</v>
      </c>
      <c r="AE140" s="2" t="s">
        <v>150</v>
      </c>
      <c r="AF140" s="2">
        <v>2</v>
      </c>
      <c r="AG140" s="2" t="s">
        <v>63</v>
      </c>
      <c r="AH140" s="2" t="s">
        <v>63</v>
      </c>
      <c r="AI140" s="2" t="s">
        <v>63</v>
      </c>
      <c r="AJ140" s="2" t="s">
        <v>100</v>
      </c>
      <c r="AK140" s="2" t="s">
        <v>101</v>
      </c>
      <c r="AL140" s="5">
        <v>30100</v>
      </c>
      <c r="AM140" s="2" t="s">
        <v>354</v>
      </c>
      <c r="AN140" s="2" t="s">
        <v>174</v>
      </c>
      <c r="AO140" s="2" t="s">
        <v>175</v>
      </c>
      <c r="AP140" s="2" t="s">
        <v>69</v>
      </c>
      <c r="AQ140" s="2" t="s">
        <v>153</v>
      </c>
      <c r="AR140" s="2" t="s">
        <v>71</v>
      </c>
      <c r="AS140" s="2" t="s">
        <v>63</v>
      </c>
      <c r="AT140" s="2" t="s">
        <v>63</v>
      </c>
      <c r="AU140" s="2" t="s">
        <v>62</v>
      </c>
      <c r="AV140" s="2" t="s">
        <v>248</v>
      </c>
      <c r="AW140" s="2" t="s">
        <v>760</v>
      </c>
      <c r="AX140" s="2" t="s">
        <v>120</v>
      </c>
      <c r="AY140" s="3">
        <v>6900</v>
      </c>
      <c r="AZ140" s="2" t="s">
        <v>76</v>
      </c>
      <c r="BA140" s="2"/>
    </row>
    <row r="141" ht="20" customHeight="1" spans="1:53" x14ac:dyDescent="0.25">
      <c r="A141" s="9" t="s">
        <v>761</v>
      </c>
      <c r="B141" s="9" t="s">
        <v>225</v>
      </c>
      <c r="C141" s="9" t="s">
        <v>251</v>
      </c>
      <c r="D141" s="9" t="s">
        <v>252</v>
      </c>
      <c r="E141" s="9" t="s">
        <v>253</v>
      </c>
      <c r="F141" s="9">
        <v>2026</v>
      </c>
      <c r="G141" s="9">
        <v>2026</v>
      </c>
      <c r="H141" s="9" t="s">
        <v>171</v>
      </c>
      <c r="I141" s="9" t="s">
        <v>97</v>
      </c>
      <c r="J141" s="9" t="s">
        <v>210</v>
      </c>
      <c r="K141" s="9" t="s">
        <v>98</v>
      </c>
      <c r="L141" s="9">
        <v>0</v>
      </c>
      <c r="M141" s="10">
        <v>1449000</v>
      </c>
      <c r="N141" s="10">
        <v>1450000</v>
      </c>
      <c r="O141" s="9" t="s">
        <v>62</v>
      </c>
      <c r="P141" s="10">
        <v>1449000</v>
      </c>
      <c r="Q141" s="10">
        <v>290000</v>
      </c>
      <c r="R141" s="10">
        <f>IF(V141="No",0,MAX(0,M141-Q141))</f>
        <v>1159000</v>
      </c>
      <c r="S141" s="11">
        <v>8.65</v>
      </c>
      <c r="T141" s="9">
        <v>72</v>
      </c>
      <c r="U141" s="10">
        <f>IF(OR(R141&lt;=0,S141&lt;0,T141&lt;=0),"",IF(S141=0,R141/T141,-PMT(S141/1200,T141,R141)))</f>
        <v>20691</v>
      </c>
      <c r="V141" s="9" t="s">
        <v>63</v>
      </c>
      <c r="W141" s="12"/>
      <c r="X141" s="9">
        <v>120</v>
      </c>
      <c r="Y141" s="11"/>
      <c r="Z141" s="12">
        <v>421</v>
      </c>
      <c r="AA141" s="13">
        <v>35</v>
      </c>
      <c r="AB141" s="9">
        <v>5</v>
      </c>
      <c r="AC141" s="9">
        <v>5</v>
      </c>
      <c r="AD141" s="9">
        <v>366</v>
      </c>
      <c r="AE141" s="9" t="s">
        <v>138</v>
      </c>
      <c r="AF141" s="9">
        <v>6</v>
      </c>
      <c r="AG141" s="9" t="s">
        <v>63</v>
      </c>
      <c r="AH141" s="9" t="s">
        <v>63</v>
      </c>
      <c r="AI141" s="9" t="s">
        <v>63</v>
      </c>
      <c r="AJ141" s="9" t="s">
        <v>113</v>
      </c>
      <c r="AK141" s="9" t="s">
        <v>171</v>
      </c>
      <c r="AL141" s="12">
        <v>19</v>
      </c>
      <c r="AM141" s="9" t="s">
        <v>762</v>
      </c>
      <c r="AN141" s="9" t="s">
        <v>185</v>
      </c>
      <c r="AO141" s="9" t="s">
        <v>186</v>
      </c>
      <c r="AP141" s="9" t="s">
        <v>69</v>
      </c>
      <c r="AQ141" s="9" t="s">
        <v>166</v>
      </c>
      <c r="AR141" s="9" t="s">
        <v>89</v>
      </c>
      <c r="AS141" s="9" t="s">
        <v>63</v>
      </c>
      <c r="AT141" s="9" t="s">
        <v>63</v>
      </c>
      <c r="AU141" s="9" t="s">
        <v>62</v>
      </c>
      <c r="AV141" s="9" t="s">
        <v>256</v>
      </c>
      <c r="AW141" s="9" t="s">
        <v>763</v>
      </c>
      <c r="AX141" s="9" t="s">
        <v>75</v>
      </c>
      <c r="AY141" s="10">
        <v>4500</v>
      </c>
      <c r="AZ141" s="9" t="s">
        <v>76</v>
      </c>
      <c r="BA141" s="9"/>
    </row>
    <row r="142" ht="20" customHeight="1" spans="1:53" x14ac:dyDescent="0.25">
      <c r="A142" s="2" t="s">
        <v>764</v>
      </c>
      <c r="B142" s="2" t="s">
        <v>225</v>
      </c>
      <c r="C142" s="2" t="s">
        <v>259</v>
      </c>
      <c r="D142" s="2" t="s">
        <v>260</v>
      </c>
      <c r="E142" s="2" t="s">
        <v>261</v>
      </c>
      <c r="F142" s="2">
        <v>2026</v>
      </c>
      <c r="G142" s="2">
        <v>2026</v>
      </c>
      <c r="H142" s="2" t="s">
        <v>171</v>
      </c>
      <c r="I142" s="2" t="s">
        <v>97</v>
      </c>
      <c r="J142" s="2" t="s">
        <v>172</v>
      </c>
      <c r="K142" s="2" t="s">
        <v>98</v>
      </c>
      <c r="L142" s="2">
        <v>0</v>
      </c>
      <c r="M142" s="3">
        <v>2625000</v>
      </c>
      <c r="N142" s="3">
        <v>2625000</v>
      </c>
      <c r="O142" s="8" t="s">
        <v>63</v>
      </c>
      <c r="P142" s="3">
        <v>2520000</v>
      </c>
      <c r="Q142" s="3">
        <v>525000</v>
      </c>
      <c r="R142" s="3">
        <f>IF(V142="No",0,MAX(0,M142-Q142))</f>
        <v>2100000</v>
      </c>
      <c r="S142" s="4">
        <v>8.95</v>
      </c>
      <c r="T142" s="2">
        <v>84</v>
      </c>
      <c r="U142" s="3">
        <f>IF(OR(R142&lt;=0,S142&lt;0,T142&lt;=0),"",IF(S142=0,R142/T142,-PMT(S142/1200,T142,R142)))</f>
        <v>33734</v>
      </c>
      <c r="V142" s="2" t="s">
        <v>63</v>
      </c>
      <c r="W142" s="5">
        <v>1956</v>
      </c>
      <c r="X142" s="2">
        <v>168</v>
      </c>
      <c r="Y142" s="4">
        <v>16.8</v>
      </c>
      <c r="Z142" s="5"/>
      <c r="AA142" s="6"/>
      <c r="AB142" s="2">
        <v>5</v>
      </c>
      <c r="AC142" s="2">
        <v>5</v>
      </c>
      <c r="AD142" s="2">
        <v>445</v>
      </c>
      <c r="AE142" s="2" t="s">
        <v>229</v>
      </c>
      <c r="AF142" s="2">
        <v>7</v>
      </c>
      <c r="AG142" s="2" t="s">
        <v>63</v>
      </c>
      <c r="AH142" s="2" t="s">
        <v>63</v>
      </c>
      <c r="AI142" s="2" t="s">
        <v>63</v>
      </c>
      <c r="AJ142" s="2" t="s">
        <v>64</v>
      </c>
      <c r="AK142" s="2" t="s">
        <v>171</v>
      </c>
      <c r="AL142" s="5">
        <v>20</v>
      </c>
      <c r="AM142" s="2" t="s">
        <v>765</v>
      </c>
      <c r="AN142" s="2" t="s">
        <v>67</v>
      </c>
      <c r="AO142" s="2" t="s">
        <v>68</v>
      </c>
      <c r="AP142" s="2" t="s">
        <v>69</v>
      </c>
      <c r="AQ142" s="2" t="s">
        <v>176</v>
      </c>
      <c r="AR142" s="2" t="s">
        <v>89</v>
      </c>
      <c r="AS142" s="2" t="s">
        <v>63</v>
      </c>
      <c r="AT142" s="2" t="s">
        <v>63</v>
      </c>
      <c r="AU142" s="2" t="s">
        <v>62</v>
      </c>
      <c r="AV142" s="2" t="s">
        <v>264</v>
      </c>
      <c r="AW142" s="2" t="s">
        <v>766</v>
      </c>
      <c r="AX142" s="2" t="s">
        <v>92</v>
      </c>
      <c r="AY142" s="3">
        <v>12500</v>
      </c>
      <c r="AZ142" s="2" t="s">
        <v>76</v>
      </c>
      <c r="BA142" s="2"/>
    </row>
    <row r="143" ht="20" customHeight="1" spans="1:53" x14ac:dyDescent="0.25">
      <c r="A143" s="2" t="s">
        <v>767</v>
      </c>
      <c r="B143" s="2" t="s">
        <v>225</v>
      </c>
      <c r="C143" s="2" t="s">
        <v>267</v>
      </c>
      <c r="D143" s="2" t="s">
        <v>268</v>
      </c>
      <c r="E143" s="2" t="s">
        <v>269</v>
      </c>
      <c r="F143" s="2">
        <v>2021</v>
      </c>
      <c r="G143" s="2">
        <v>2021</v>
      </c>
      <c r="H143" s="2" t="s">
        <v>58</v>
      </c>
      <c r="I143" s="2" t="s">
        <v>97</v>
      </c>
      <c r="J143" s="2" t="s">
        <v>172</v>
      </c>
      <c r="K143" s="2" t="s">
        <v>98</v>
      </c>
      <c r="L143" s="2">
        <v>2</v>
      </c>
      <c r="M143" s="3">
        <v>1450000</v>
      </c>
      <c r="N143" s="3">
        <v>2390000</v>
      </c>
      <c r="O143" s="2" t="s">
        <v>62</v>
      </c>
      <c r="P143" s="3">
        <v>1450000</v>
      </c>
      <c r="Q143" s="3">
        <v>365000</v>
      </c>
      <c r="R143" s="3">
        <f>IF(V143="No",0,MAX(0,M143-Q143))</f>
        <v>1085000</v>
      </c>
      <c r="S143" s="4">
        <v>11</v>
      </c>
      <c r="T143" s="2">
        <v>36</v>
      </c>
      <c r="U143" s="3">
        <f>IF(OR(R143&lt;=0,S143&lt;0,T143&lt;=0),"",IF(S143=0,R143/T143,-PMT(S143/1200,T143,R143)))</f>
        <v>35522</v>
      </c>
      <c r="V143" s="2" t="s">
        <v>63</v>
      </c>
      <c r="W143" s="5">
        <v>1956</v>
      </c>
      <c r="X143" s="2">
        <v>168</v>
      </c>
      <c r="Y143" s="4">
        <v>16.3</v>
      </c>
      <c r="Z143" s="5"/>
      <c r="AA143" s="6"/>
      <c r="AB143" s="2">
        <v>6</v>
      </c>
      <c r="AC143" s="2">
        <v>5</v>
      </c>
      <c r="AD143" s="2">
        <v>420</v>
      </c>
      <c r="AE143" s="2" t="s">
        <v>229</v>
      </c>
      <c r="AF143" s="2">
        <v>7</v>
      </c>
      <c r="AG143" s="2" t="s">
        <v>63</v>
      </c>
      <c r="AH143" s="2" t="s">
        <v>63</v>
      </c>
      <c r="AI143" s="2" t="s">
        <v>63</v>
      </c>
      <c r="AJ143" s="2" t="s">
        <v>83</v>
      </c>
      <c r="AK143" s="2" t="s">
        <v>162</v>
      </c>
      <c r="AL143" s="5">
        <v>70800</v>
      </c>
      <c r="AM143" s="2" t="s">
        <v>375</v>
      </c>
      <c r="AN143" s="2" t="s">
        <v>86</v>
      </c>
      <c r="AO143" s="2" t="s">
        <v>87</v>
      </c>
      <c r="AP143" s="2" t="s">
        <v>69</v>
      </c>
      <c r="AQ143" s="2" t="s">
        <v>187</v>
      </c>
      <c r="AR143" s="2" t="s">
        <v>71</v>
      </c>
      <c r="AS143" s="2" t="s">
        <v>63</v>
      </c>
      <c r="AT143" s="2" t="s">
        <v>62</v>
      </c>
      <c r="AU143" s="2" t="s">
        <v>62</v>
      </c>
      <c r="AV143" s="2" t="s">
        <v>272</v>
      </c>
      <c r="AW143" s="2" t="s">
        <v>768</v>
      </c>
      <c r="AX143" s="2" t="s">
        <v>92</v>
      </c>
      <c r="AY143" s="3">
        <v>15800</v>
      </c>
      <c r="AZ143" s="2" t="s">
        <v>76</v>
      </c>
      <c r="BA143" s="2"/>
    </row>
    <row r="144" ht="20" customHeight="1" spans="1:53" x14ac:dyDescent="0.25">
      <c r="A144" s="9" t="s">
        <v>769</v>
      </c>
      <c r="B144" s="9" t="s">
        <v>225</v>
      </c>
      <c r="C144" s="9" t="s">
        <v>275</v>
      </c>
      <c r="D144" s="9" t="s">
        <v>276</v>
      </c>
      <c r="E144" s="9" t="s">
        <v>277</v>
      </c>
      <c r="F144" s="9">
        <v>2025</v>
      </c>
      <c r="G144" s="9">
        <v>2025</v>
      </c>
      <c r="H144" s="9" t="s">
        <v>58</v>
      </c>
      <c r="I144" s="9" t="s">
        <v>278</v>
      </c>
      <c r="J144" s="9" t="s">
        <v>210</v>
      </c>
      <c r="K144" s="9" t="s">
        <v>98</v>
      </c>
      <c r="L144" s="9">
        <v>1</v>
      </c>
      <c r="M144" s="10">
        <v>1940000</v>
      </c>
      <c r="N144" s="10">
        <v>2145000</v>
      </c>
      <c r="O144" s="8" t="s">
        <v>63</v>
      </c>
      <c r="P144" s="10">
        <v>1845000</v>
      </c>
      <c r="Q144" s="10">
        <v>485000</v>
      </c>
      <c r="R144" s="10">
        <f>IF(V144="No",0,MAX(0,M144-Q144))</f>
        <v>1455000</v>
      </c>
      <c r="S144" s="11">
        <v>10.4</v>
      </c>
      <c r="T144" s="9">
        <v>48</v>
      </c>
      <c r="U144" s="10">
        <f>IF(OR(R144&lt;=0,S144&lt;0,T144&lt;=0),"",IF(S144=0,R144/T144,-PMT(S144/1200,T144,R144)))</f>
        <v>37183</v>
      </c>
      <c r="V144" s="9" t="s">
        <v>63</v>
      </c>
      <c r="W144" s="12"/>
      <c r="X144" s="9">
        <v>165</v>
      </c>
      <c r="Y144" s="11"/>
      <c r="Z144" s="12">
        <v>585</v>
      </c>
      <c r="AA144" s="13">
        <v>55</v>
      </c>
      <c r="AB144" s="9">
        <v>5</v>
      </c>
      <c r="AC144" s="9">
        <v>5</v>
      </c>
      <c r="AD144" s="9">
        <v>500</v>
      </c>
      <c r="AE144" s="9" t="s">
        <v>138</v>
      </c>
      <c r="AF144" s="9">
        <v>6</v>
      </c>
      <c r="AG144" s="9" t="s">
        <v>63</v>
      </c>
      <c r="AH144" s="9" t="s">
        <v>63</v>
      </c>
      <c r="AI144" s="9" t="s">
        <v>63</v>
      </c>
      <c r="AJ144" s="9" t="s">
        <v>100</v>
      </c>
      <c r="AK144" s="9" t="s">
        <v>84</v>
      </c>
      <c r="AL144" s="12">
        <v>10500</v>
      </c>
      <c r="AM144" s="9" t="s">
        <v>383</v>
      </c>
      <c r="AN144" s="9" t="s">
        <v>103</v>
      </c>
      <c r="AO144" s="9" t="s">
        <v>104</v>
      </c>
      <c r="AP144" s="9" t="s">
        <v>128</v>
      </c>
      <c r="AQ144" s="9" t="s">
        <v>194</v>
      </c>
      <c r="AR144" s="9" t="s">
        <v>89</v>
      </c>
      <c r="AS144" s="9" t="s">
        <v>63</v>
      </c>
      <c r="AT144" s="9" t="s">
        <v>63</v>
      </c>
      <c r="AU144" s="9" t="s">
        <v>62</v>
      </c>
      <c r="AV144" s="9" t="s">
        <v>281</v>
      </c>
      <c r="AW144" s="9" t="s">
        <v>770</v>
      </c>
      <c r="AX144" s="9" t="s">
        <v>197</v>
      </c>
      <c r="AY144" s="10">
        <v>5400</v>
      </c>
      <c r="AZ144" s="9" t="s">
        <v>76</v>
      </c>
      <c r="BA144" s="9"/>
    </row>
    <row r="145" ht="20" customHeight="1" spans="1:53" x14ac:dyDescent="0.25">
      <c r="A145" s="2" t="s">
        <v>771</v>
      </c>
      <c r="B145" s="2" t="s">
        <v>284</v>
      </c>
      <c r="C145" s="2" t="s">
        <v>285</v>
      </c>
      <c r="D145" s="2" t="s">
        <v>286</v>
      </c>
      <c r="E145" s="2" t="s">
        <v>287</v>
      </c>
      <c r="F145" s="2">
        <v>2023</v>
      </c>
      <c r="G145" s="2">
        <v>2023</v>
      </c>
      <c r="H145" s="2" t="s">
        <v>58</v>
      </c>
      <c r="I145" s="2" t="s">
        <v>97</v>
      </c>
      <c r="J145" s="2" t="s">
        <v>172</v>
      </c>
      <c r="K145" s="2" t="s">
        <v>98</v>
      </c>
      <c r="L145" s="2">
        <v>1</v>
      </c>
      <c r="M145" s="3">
        <v>1750000</v>
      </c>
      <c r="N145" s="3">
        <v>2360000</v>
      </c>
      <c r="O145" s="8" t="s">
        <v>63</v>
      </c>
      <c r="P145" s="3">
        <v>1680000</v>
      </c>
      <c r="Q145" s="3">
        <v>440000</v>
      </c>
      <c r="R145" s="3">
        <f>IF(V145="No",0,MAX(0,M145-Q145))</f>
        <v>1310000</v>
      </c>
      <c r="S145" s="4">
        <v>10.7</v>
      </c>
      <c r="T145" s="2">
        <v>60</v>
      </c>
      <c r="U145" s="3">
        <f>IF(OR(R145&lt;=0,S145&lt;0,T145&lt;=0),"",IF(S145=0,R145/T145,-PMT(S145/1200,T145,R145)))</f>
        <v>28287</v>
      </c>
      <c r="V145" s="2" t="s">
        <v>63</v>
      </c>
      <c r="W145" s="5">
        <v>2198</v>
      </c>
      <c r="X145" s="2">
        <v>182</v>
      </c>
      <c r="Y145" s="4">
        <v>15.5</v>
      </c>
      <c r="Z145" s="5"/>
      <c r="AA145" s="6"/>
      <c r="AB145" s="2">
        <v>7</v>
      </c>
      <c r="AC145" s="2">
        <v>5</v>
      </c>
      <c r="AD145" s="2">
        <v>240</v>
      </c>
      <c r="AE145" s="2" t="s">
        <v>150</v>
      </c>
      <c r="AF145" s="2">
        <v>7</v>
      </c>
      <c r="AG145" s="2" t="s">
        <v>63</v>
      </c>
      <c r="AH145" s="2" t="s">
        <v>63</v>
      </c>
      <c r="AI145" s="2" t="s">
        <v>63</v>
      </c>
      <c r="AJ145" s="2" t="s">
        <v>113</v>
      </c>
      <c r="AK145" s="2" t="s">
        <v>101</v>
      </c>
      <c r="AL145" s="5">
        <v>47900</v>
      </c>
      <c r="AM145" s="2" t="s">
        <v>390</v>
      </c>
      <c r="AN145" s="2" t="s">
        <v>115</v>
      </c>
      <c r="AO145" s="2" t="s">
        <v>116</v>
      </c>
      <c r="AP145" s="2" t="s">
        <v>141</v>
      </c>
      <c r="AQ145" s="2" t="s">
        <v>203</v>
      </c>
      <c r="AR145" s="2" t="s">
        <v>89</v>
      </c>
      <c r="AS145" s="2" t="s">
        <v>63</v>
      </c>
      <c r="AT145" s="2" t="s">
        <v>63</v>
      </c>
      <c r="AU145" s="2" t="s">
        <v>62</v>
      </c>
      <c r="AV145" s="2" t="s">
        <v>290</v>
      </c>
      <c r="AW145" s="2" t="s">
        <v>772</v>
      </c>
      <c r="AX145" s="2" t="s">
        <v>92</v>
      </c>
      <c r="AY145" s="3">
        <v>14300</v>
      </c>
      <c r="AZ145" s="2" t="s">
        <v>76</v>
      </c>
      <c r="BA145" s="2"/>
    </row>
    <row r="146" ht="20" customHeight="1" spans="1:53" x14ac:dyDescent="0.25">
      <c r="A146" s="2" t="s">
        <v>773</v>
      </c>
      <c r="B146" s="2" t="s">
        <v>284</v>
      </c>
      <c r="C146" s="2" t="s">
        <v>293</v>
      </c>
      <c r="D146" s="2" t="s">
        <v>294</v>
      </c>
      <c r="E146" s="2" t="s">
        <v>295</v>
      </c>
      <c r="F146" s="2">
        <v>2018</v>
      </c>
      <c r="G146" s="2">
        <v>2018</v>
      </c>
      <c r="H146" s="2" t="s">
        <v>58</v>
      </c>
      <c r="I146" s="2" t="s">
        <v>97</v>
      </c>
      <c r="J146" s="2" t="s">
        <v>172</v>
      </c>
      <c r="K146" s="2" t="s">
        <v>98</v>
      </c>
      <c r="L146" s="2">
        <v>3</v>
      </c>
      <c r="M146" s="3">
        <v>805000</v>
      </c>
      <c r="N146" s="3">
        <v>1965000</v>
      </c>
      <c r="O146" s="2" t="s">
        <v>62</v>
      </c>
      <c r="P146" s="3">
        <v>805000</v>
      </c>
      <c r="Q146" s="3">
        <v>200000</v>
      </c>
      <c r="R146" s="3">
        <f>IF(V146="No",0,MAX(0,M146-Q146))</f>
        <v>605000</v>
      </c>
      <c r="S146" s="4">
        <v>11.45</v>
      </c>
      <c r="T146" s="2">
        <v>36</v>
      </c>
      <c r="U146" s="3">
        <f>IF(OR(R146&lt;=0,S146&lt;0,T146&lt;=0),"",IF(S146=0,R146/T146,-PMT(S146/1200,T146,R146)))</f>
        <v>19936</v>
      </c>
      <c r="V146" s="2" t="s">
        <v>63</v>
      </c>
      <c r="W146" s="5">
        <v>2198</v>
      </c>
      <c r="X146" s="2">
        <v>172</v>
      </c>
      <c r="Y146" s="4">
        <v>15.4</v>
      </c>
      <c r="Z146" s="5"/>
      <c r="AA146" s="6"/>
      <c r="AB146" s="2">
        <v>7</v>
      </c>
      <c r="AC146" s="2">
        <v>5</v>
      </c>
      <c r="AD146" s="2">
        <v>460</v>
      </c>
      <c r="AE146" s="2" t="s">
        <v>150</v>
      </c>
      <c r="AF146" s="2">
        <v>6</v>
      </c>
      <c r="AG146" s="2" t="s">
        <v>63</v>
      </c>
      <c r="AH146" s="2" t="s">
        <v>63</v>
      </c>
      <c r="AI146" s="2" t="s">
        <v>63</v>
      </c>
      <c r="AJ146" s="2" t="s">
        <v>64</v>
      </c>
      <c r="AK146" s="2" t="s">
        <v>65</v>
      </c>
      <c r="AL146" s="7">
        <v>118000</v>
      </c>
      <c r="AM146" s="2" t="s">
        <v>397</v>
      </c>
      <c r="AN146" s="2" t="s">
        <v>127</v>
      </c>
      <c r="AO146" s="2" t="s">
        <v>127</v>
      </c>
      <c r="AP146" s="2" t="s">
        <v>69</v>
      </c>
      <c r="AQ146" s="2" t="s">
        <v>213</v>
      </c>
      <c r="AR146" s="2" t="s">
        <v>71</v>
      </c>
      <c r="AS146" s="2" t="s">
        <v>63</v>
      </c>
      <c r="AT146" s="2" t="s">
        <v>62</v>
      </c>
      <c r="AU146" s="2" t="s">
        <v>62</v>
      </c>
      <c r="AV146" s="2" t="s">
        <v>297</v>
      </c>
      <c r="AW146" s="2" t="s">
        <v>774</v>
      </c>
      <c r="AX146" s="2" t="s">
        <v>197</v>
      </c>
      <c r="AY146" s="3">
        <v>16100</v>
      </c>
      <c r="AZ146" s="2" t="s">
        <v>76</v>
      </c>
      <c r="BA146" s="2"/>
    </row>
    <row r="147" ht="20" customHeight="1" spans="1:53" x14ac:dyDescent="0.25">
      <c r="A147" s="2" t="s">
        <v>775</v>
      </c>
      <c r="B147" s="2" t="s">
        <v>284</v>
      </c>
      <c r="C147" s="2" t="s">
        <v>300</v>
      </c>
      <c r="D147" s="2" t="s">
        <v>301</v>
      </c>
      <c r="E147" s="2" t="s">
        <v>302</v>
      </c>
      <c r="F147" s="2">
        <v>2024</v>
      </c>
      <c r="G147" s="2">
        <v>2025</v>
      </c>
      <c r="H147" s="2" t="s">
        <v>58</v>
      </c>
      <c r="I147" s="2" t="s">
        <v>97</v>
      </c>
      <c r="J147" s="2" t="s">
        <v>172</v>
      </c>
      <c r="K147" s="2" t="s">
        <v>98</v>
      </c>
      <c r="L147" s="2">
        <v>1</v>
      </c>
      <c r="M147" s="3">
        <v>1750000</v>
      </c>
      <c r="N147" s="3">
        <v>2135000</v>
      </c>
      <c r="O147" s="8" t="s">
        <v>63</v>
      </c>
      <c r="P147" s="3">
        <v>1665000</v>
      </c>
      <c r="Q147" s="3">
        <v>440000</v>
      </c>
      <c r="R147" s="3">
        <f>IF(V147="No",0,MAX(0,M147-Q147))</f>
        <v>1310000</v>
      </c>
      <c r="S147" s="4">
        <v>10.55</v>
      </c>
      <c r="T147" s="2">
        <v>48</v>
      </c>
      <c r="U147" s="3">
        <f>IF(OR(R147&lt;=0,S147&lt;0,T147&lt;=0),"",IF(S147=0,R147/T147,-PMT(S147/1200,T147,R147)))</f>
        <v>33572</v>
      </c>
      <c r="V147" s="2" t="s">
        <v>63</v>
      </c>
      <c r="W147" s="5">
        <v>2184</v>
      </c>
      <c r="X147" s="2">
        <v>172</v>
      </c>
      <c r="Y147" s="4">
        <v>15.2</v>
      </c>
      <c r="Z147" s="5"/>
      <c r="AA147" s="6"/>
      <c r="AB147" s="2">
        <v>5</v>
      </c>
      <c r="AC147" s="2">
        <v>5</v>
      </c>
      <c r="AD147" s="2">
        <v>447</v>
      </c>
      <c r="AE147" s="2" t="s">
        <v>138</v>
      </c>
      <c r="AF147" s="2">
        <v>6</v>
      </c>
      <c r="AG147" s="2" t="s">
        <v>63</v>
      </c>
      <c r="AH147" s="2" t="s">
        <v>63</v>
      </c>
      <c r="AI147" s="2" t="s">
        <v>63</v>
      </c>
      <c r="AJ147" s="2" t="s">
        <v>83</v>
      </c>
      <c r="AK147" s="2" t="s">
        <v>101</v>
      </c>
      <c r="AL147" s="5">
        <v>31200</v>
      </c>
      <c r="AM147" s="2" t="s">
        <v>404</v>
      </c>
      <c r="AN147" s="2" t="s">
        <v>115</v>
      </c>
      <c r="AO147" s="2" t="s">
        <v>140</v>
      </c>
      <c r="AP147" s="2" t="s">
        <v>69</v>
      </c>
      <c r="AQ147" s="2" t="s">
        <v>221</v>
      </c>
      <c r="AR147" s="2" t="s">
        <v>89</v>
      </c>
      <c r="AS147" s="2" t="s">
        <v>63</v>
      </c>
      <c r="AT147" s="2" t="s">
        <v>63</v>
      </c>
      <c r="AU147" s="2" t="s">
        <v>62</v>
      </c>
      <c r="AV147" s="2" t="s">
        <v>304</v>
      </c>
      <c r="AW147" s="2" t="s">
        <v>776</v>
      </c>
      <c r="AX147" s="2" t="s">
        <v>197</v>
      </c>
      <c r="AY147" s="3">
        <v>12700</v>
      </c>
      <c r="AZ147" s="2" t="s">
        <v>76</v>
      </c>
      <c r="BA147" s="2"/>
    </row>
    <row r="148" ht="20" customHeight="1" spans="1:53" x14ac:dyDescent="0.25">
      <c r="A148" s="2" t="s">
        <v>777</v>
      </c>
      <c r="B148" s="2" t="s">
        <v>284</v>
      </c>
      <c r="C148" s="2" t="s">
        <v>307</v>
      </c>
      <c r="D148" s="2" t="s">
        <v>308</v>
      </c>
      <c r="E148" s="2" t="s">
        <v>309</v>
      </c>
      <c r="F148" s="2">
        <v>2025</v>
      </c>
      <c r="G148" s="2">
        <v>2025</v>
      </c>
      <c r="H148" s="2" t="s">
        <v>58</v>
      </c>
      <c r="I148" s="2" t="s">
        <v>97</v>
      </c>
      <c r="J148" s="2" t="s">
        <v>60</v>
      </c>
      <c r="K148" s="2" t="s">
        <v>98</v>
      </c>
      <c r="L148" s="2">
        <v>1</v>
      </c>
      <c r="M148" s="3">
        <v>1365000</v>
      </c>
      <c r="N148" s="3">
        <v>1510000</v>
      </c>
      <c r="O148" s="8" t="s">
        <v>63</v>
      </c>
      <c r="P148" s="3">
        <v>1310000</v>
      </c>
      <c r="Q148" s="3">
        <v>340000</v>
      </c>
      <c r="R148" s="3">
        <f>IF(V148="No",0,MAX(0,M148-Q148))</f>
        <v>1025000</v>
      </c>
      <c r="S148" s="4">
        <v>10.4</v>
      </c>
      <c r="T148" s="2">
        <v>60</v>
      </c>
      <c r="U148" s="3">
        <f>IF(OR(R148&lt;=0,S148&lt;0,T148&lt;=0),"",IF(S148=0,R148/T148,-PMT(S148/1200,T148,R148)))</f>
        <v>21981</v>
      </c>
      <c r="V148" s="2" t="s">
        <v>63</v>
      </c>
      <c r="W148" s="5">
        <v>1197</v>
      </c>
      <c r="X148" s="2">
        <v>129</v>
      </c>
      <c r="Y148" s="4">
        <v>18.2</v>
      </c>
      <c r="Z148" s="5"/>
      <c r="AA148" s="6"/>
      <c r="AB148" s="2">
        <v>5</v>
      </c>
      <c r="AC148" s="2">
        <v>5</v>
      </c>
      <c r="AD148" s="2">
        <v>364</v>
      </c>
      <c r="AE148" s="2" t="s">
        <v>138</v>
      </c>
      <c r="AF148" s="2">
        <v>6</v>
      </c>
      <c r="AG148" s="2" t="s">
        <v>63</v>
      </c>
      <c r="AH148" s="2" t="s">
        <v>63</v>
      </c>
      <c r="AI148" s="2" t="s">
        <v>63</v>
      </c>
      <c r="AJ148" s="2" t="s">
        <v>100</v>
      </c>
      <c r="AK148" s="2" t="s">
        <v>84</v>
      </c>
      <c r="AL148" s="5">
        <v>9500</v>
      </c>
      <c r="AM148" s="2" t="s">
        <v>412</v>
      </c>
      <c r="AN148" s="2" t="s">
        <v>67</v>
      </c>
      <c r="AO148" s="2" t="s">
        <v>152</v>
      </c>
      <c r="AP148" s="2" t="s">
        <v>69</v>
      </c>
      <c r="AQ148" s="2" t="s">
        <v>231</v>
      </c>
      <c r="AR148" s="2" t="s">
        <v>89</v>
      </c>
      <c r="AS148" s="2" t="s">
        <v>63</v>
      </c>
      <c r="AT148" s="2" t="s">
        <v>63</v>
      </c>
      <c r="AU148" s="2" t="s">
        <v>62</v>
      </c>
      <c r="AV148" s="2" t="s">
        <v>311</v>
      </c>
      <c r="AW148" s="2" t="s">
        <v>778</v>
      </c>
      <c r="AX148" s="2" t="s">
        <v>92</v>
      </c>
      <c r="AY148" s="3">
        <v>8700</v>
      </c>
      <c r="AZ148" s="2" t="s">
        <v>76</v>
      </c>
      <c r="BA148" s="2"/>
    </row>
    <row r="149" ht="20" customHeight="1" spans="1:53" x14ac:dyDescent="0.25">
      <c r="A149" s="9" t="s">
        <v>779</v>
      </c>
      <c r="B149" s="9" t="s">
        <v>284</v>
      </c>
      <c r="C149" s="9" t="s">
        <v>314</v>
      </c>
      <c r="D149" s="9" t="s">
        <v>315</v>
      </c>
      <c r="E149" s="9" t="s">
        <v>316</v>
      </c>
      <c r="F149" s="9">
        <v>2026</v>
      </c>
      <c r="G149" s="9">
        <v>2026</v>
      </c>
      <c r="H149" s="9" t="s">
        <v>58</v>
      </c>
      <c r="I149" s="9" t="s">
        <v>278</v>
      </c>
      <c r="J149" s="9" t="s">
        <v>210</v>
      </c>
      <c r="K149" s="9" t="s">
        <v>98</v>
      </c>
      <c r="L149" s="9">
        <v>1</v>
      </c>
      <c r="M149" s="10">
        <v>2690000</v>
      </c>
      <c r="N149" s="10">
        <v>2690000</v>
      </c>
      <c r="O149" s="9" t="s">
        <v>62</v>
      </c>
      <c r="P149" s="10">
        <v>2690000</v>
      </c>
      <c r="Q149" s="10">
        <v>675000</v>
      </c>
      <c r="R149" s="10">
        <f>IF(V149="No",0,MAX(0,M149-Q149))</f>
        <v>2015000</v>
      </c>
      <c r="S149" s="11">
        <v>10.25</v>
      </c>
      <c r="T149" s="9">
        <v>36</v>
      </c>
      <c r="U149" s="10">
        <f>IF(OR(R149&lt;=0,S149&lt;0,T149&lt;=0),"",IF(S149=0,R149/T149,-PMT(S149/1200,T149,R149)))</f>
        <v>65255</v>
      </c>
      <c r="V149" s="9" t="s">
        <v>63</v>
      </c>
      <c r="W149" s="12"/>
      <c r="X149" s="9">
        <v>282</v>
      </c>
      <c r="Y149" s="11"/>
      <c r="Z149" s="12">
        <v>682</v>
      </c>
      <c r="AA149" s="13">
        <v>79</v>
      </c>
      <c r="AB149" s="9">
        <v>5</v>
      </c>
      <c r="AC149" s="9">
        <v>5</v>
      </c>
      <c r="AD149" s="9">
        <v>455</v>
      </c>
      <c r="AE149" s="9" t="s">
        <v>138</v>
      </c>
      <c r="AF149" s="9">
        <v>7</v>
      </c>
      <c r="AG149" s="9" t="s">
        <v>63</v>
      </c>
      <c r="AH149" s="9" t="s">
        <v>63</v>
      </c>
      <c r="AI149" s="9" t="s">
        <v>63</v>
      </c>
      <c r="AJ149" s="9" t="s">
        <v>113</v>
      </c>
      <c r="AK149" s="9" t="s">
        <v>84</v>
      </c>
      <c r="AL149" s="12">
        <v>10200</v>
      </c>
      <c r="AM149" s="9" t="s">
        <v>419</v>
      </c>
      <c r="AN149" s="9" t="s">
        <v>164</v>
      </c>
      <c r="AO149" s="9" t="s">
        <v>165</v>
      </c>
      <c r="AP149" s="9" t="s">
        <v>69</v>
      </c>
      <c r="AQ149" s="9" t="s">
        <v>239</v>
      </c>
      <c r="AR149" s="9" t="s">
        <v>71</v>
      </c>
      <c r="AS149" s="9" t="s">
        <v>62</v>
      </c>
      <c r="AT149" s="9" t="s">
        <v>63</v>
      </c>
      <c r="AU149" s="9" t="s">
        <v>62</v>
      </c>
      <c r="AV149" s="9" t="s">
        <v>318</v>
      </c>
      <c r="AW149" s="9" t="s">
        <v>780</v>
      </c>
      <c r="AX149" s="9" t="s">
        <v>197</v>
      </c>
      <c r="AY149" s="10">
        <v>5800</v>
      </c>
      <c r="AZ149" s="9" t="s">
        <v>76</v>
      </c>
      <c r="BA149" s="9"/>
    </row>
    <row r="150" ht="20" customHeight="1" spans="1:53" x14ac:dyDescent="0.25">
      <c r="A150" s="2" t="s">
        <v>781</v>
      </c>
      <c r="B150" s="2" t="s">
        <v>321</v>
      </c>
      <c r="C150" s="2" t="s">
        <v>322</v>
      </c>
      <c r="D150" s="2" t="s">
        <v>40</v>
      </c>
      <c r="E150" s="2" t="s">
        <v>323</v>
      </c>
      <c r="F150" s="2">
        <v>2022</v>
      </c>
      <c r="G150" s="2">
        <v>2022</v>
      </c>
      <c r="H150" s="2" t="s">
        <v>58</v>
      </c>
      <c r="I150" s="2" t="s">
        <v>149</v>
      </c>
      <c r="J150" s="2" t="s">
        <v>60</v>
      </c>
      <c r="K150" s="2" t="s">
        <v>137</v>
      </c>
      <c r="L150" s="2">
        <v>1</v>
      </c>
      <c r="M150" s="3">
        <v>985000</v>
      </c>
      <c r="N150" s="3">
        <v>1470000</v>
      </c>
      <c r="O150" s="8" t="s">
        <v>63</v>
      </c>
      <c r="P150" s="3">
        <v>935000</v>
      </c>
      <c r="Q150" s="3">
        <v>245000</v>
      </c>
      <c r="R150" s="3">
        <f>IF(V150="No",0,MAX(0,M150-Q150))</f>
        <v>740000</v>
      </c>
      <c r="S150" s="4">
        <v>10.85</v>
      </c>
      <c r="T150" s="2">
        <v>48</v>
      </c>
      <c r="U150" s="3">
        <f>IF(OR(R150&lt;=0,S150&lt;0,T150&lt;=0),"",IF(S150=0,R150/T150,-PMT(S150/1200,T150,R150)))</f>
        <v>19072</v>
      </c>
      <c r="V150" s="2" t="s">
        <v>63</v>
      </c>
      <c r="W150" s="5">
        <v>1498</v>
      </c>
      <c r="X150" s="2">
        <v>119</v>
      </c>
      <c r="Y150" s="4">
        <v>18.4</v>
      </c>
      <c r="Z150" s="5"/>
      <c r="AA150" s="6"/>
      <c r="AB150" s="2">
        <v>5</v>
      </c>
      <c r="AC150" s="2">
        <v>4</v>
      </c>
      <c r="AD150" s="2">
        <v>506</v>
      </c>
      <c r="AE150" s="2" t="s">
        <v>324</v>
      </c>
      <c r="AF150" s="2">
        <v>6</v>
      </c>
      <c r="AG150" s="2" t="s">
        <v>63</v>
      </c>
      <c r="AH150" s="2" t="s">
        <v>63</v>
      </c>
      <c r="AI150" s="2" t="s">
        <v>63</v>
      </c>
      <c r="AJ150" s="2" t="s">
        <v>64</v>
      </c>
      <c r="AK150" s="2" t="s">
        <v>101</v>
      </c>
      <c r="AL150" s="5">
        <v>35000</v>
      </c>
      <c r="AM150" s="2" t="s">
        <v>426</v>
      </c>
      <c r="AN150" s="2" t="s">
        <v>174</v>
      </c>
      <c r="AO150" s="2" t="s">
        <v>175</v>
      </c>
      <c r="AP150" s="2" t="s">
        <v>128</v>
      </c>
      <c r="AQ150" s="2" t="s">
        <v>247</v>
      </c>
      <c r="AR150" s="2" t="s">
        <v>89</v>
      </c>
      <c r="AS150" s="2" t="s">
        <v>63</v>
      </c>
      <c r="AT150" s="2" t="s">
        <v>63</v>
      </c>
      <c r="AU150" s="2" t="s">
        <v>62</v>
      </c>
      <c r="AV150" s="2" t="s">
        <v>326</v>
      </c>
      <c r="AW150" s="2" t="s">
        <v>782</v>
      </c>
      <c r="AX150" s="2" t="s">
        <v>92</v>
      </c>
      <c r="AY150" s="3">
        <v>9900</v>
      </c>
      <c r="AZ150" s="2" t="s">
        <v>76</v>
      </c>
      <c r="BA150" s="2"/>
    </row>
    <row r="151" ht="20" customHeight="1" spans="1:53" x14ac:dyDescent="0.25">
      <c r="A151" s="2" t="s">
        <v>783</v>
      </c>
      <c r="B151" s="2" t="s">
        <v>321</v>
      </c>
      <c r="C151" s="2" t="s">
        <v>329</v>
      </c>
      <c r="D151" s="2" t="s">
        <v>330</v>
      </c>
      <c r="E151" s="2" t="s">
        <v>331</v>
      </c>
      <c r="F151" s="2">
        <v>2017</v>
      </c>
      <c r="G151" s="2">
        <v>2017</v>
      </c>
      <c r="H151" s="2" t="s">
        <v>58</v>
      </c>
      <c r="I151" s="2" t="s">
        <v>149</v>
      </c>
      <c r="J151" s="2" t="s">
        <v>136</v>
      </c>
      <c r="K151" s="2" t="s">
        <v>137</v>
      </c>
      <c r="L151" s="2">
        <v>2</v>
      </c>
      <c r="M151" s="3">
        <v>590000</v>
      </c>
      <c r="N151" s="3">
        <v>1595000</v>
      </c>
      <c r="O151" s="8" t="s">
        <v>63</v>
      </c>
      <c r="P151" s="3">
        <v>565000</v>
      </c>
      <c r="Q151" s="3">
        <v>150000</v>
      </c>
      <c r="R151" s="3">
        <f>IF(V151="No",0,MAX(0,M151-Q151))</f>
        <v>440000</v>
      </c>
      <c r="S151" s="4">
        <v>11.6</v>
      </c>
      <c r="T151" s="2">
        <v>60</v>
      </c>
      <c r="U151" s="3">
        <f>IF(OR(R151&lt;=0,S151&lt;0,T151&lt;=0),"",IF(S151=0,R151/T151,-PMT(S151/1200,T151,R151)))</f>
        <v>9699</v>
      </c>
      <c r="V151" s="2" t="s">
        <v>63</v>
      </c>
      <c r="W151" s="5">
        <v>1498</v>
      </c>
      <c r="X151" s="2">
        <v>124</v>
      </c>
      <c r="Y151" s="4">
        <v>27.13</v>
      </c>
      <c r="Z151" s="5"/>
      <c r="AA151" s="6"/>
      <c r="AB151" s="2">
        <v>5</v>
      </c>
      <c r="AC151" s="2">
        <v>4</v>
      </c>
      <c r="AD151" s="2">
        <v>410</v>
      </c>
      <c r="AE151" s="2" t="s">
        <v>324</v>
      </c>
      <c r="AF151" s="2">
        <v>6</v>
      </c>
      <c r="AG151" s="2" t="s">
        <v>63</v>
      </c>
      <c r="AH151" s="2" t="s">
        <v>63</v>
      </c>
      <c r="AI151" s="2" t="s">
        <v>63</v>
      </c>
      <c r="AJ151" s="2" t="s">
        <v>83</v>
      </c>
      <c r="AK151" s="2" t="s">
        <v>162</v>
      </c>
      <c r="AL151" s="7">
        <v>94900</v>
      </c>
      <c r="AM151" s="2" t="s">
        <v>434</v>
      </c>
      <c r="AN151" s="2" t="s">
        <v>185</v>
      </c>
      <c r="AO151" s="2" t="s">
        <v>186</v>
      </c>
      <c r="AP151" s="2" t="s">
        <v>141</v>
      </c>
      <c r="AQ151" s="2" t="s">
        <v>255</v>
      </c>
      <c r="AR151" s="2" t="s">
        <v>89</v>
      </c>
      <c r="AS151" s="2" t="s">
        <v>63</v>
      </c>
      <c r="AT151" s="2" t="s">
        <v>62</v>
      </c>
      <c r="AU151" s="2" t="s">
        <v>62</v>
      </c>
      <c r="AV151" s="2" t="s">
        <v>333</v>
      </c>
      <c r="AW151" s="2" t="s">
        <v>784</v>
      </c>
      <c r="AX151" s="2" t="s">
        <v>335</v>
      </c>
      <c r="AY151" s="3">
        <v>12400</v>
      </c>
      <c r="AZ151" s="2" t="s">
        <v>76</v>
      </c>
      <c r="BA151" s="2"/>
    </row>
    <row r="152" ht="20" customHeight="1" spans="1:53" x14ac:dyDescent="0.25">
      <c r="A152" s="2" t="s">
        <v>785</v>
      </c>
      <c r="B152" s="2" t="s">
        <v>321</v>
      </c>
      <c r="C152" s="2" t="s">
        <v>337</v>
      </c>
      <c r="D152" s="2" t="s">
        <v>338</v>
      </c>
      <c r="E152" s="2" t="s">
        <v>323</v>
      </c>
      <c r="F152" s="2">
        <v>2025</v>
      </c>
      <c r="G152" s="2">
        <v>2026</v>
      </c>
      <c r="H152" s="2" t="s">
        <v>58</v>
      </c>
      <c r="I152" s="2" t="s">
        <v>97</v>
      </c>
      <c r="J152" s="2" t="s">
        <v>60</v>
      </c>
      <c r="K152" s="2" t="s">
        <v>137</v>
      </c>
      <c r="L152" s="2">
        <v>1</v>
      </c>
      <c r="M152" s="3">
        <v>1450000</v>
      </c>
      <c r="N152" s="3">
        <v>1600000</v>
      </c>
      <c r="O152" s="2" t="s">
        <v>62</v>
      </c>
      <c r="P152" s="3">
        <v>1450000</v>
      </c>
      <c r="Q152" s="3">
        <v>365000</v>
      </c>
      <c r="R152" s="3">
        <f>IF(V152="No",0,MAX(0,M152-Q152))</f>
        <v>1085000</v>
      </c>
      <c r="S152" s="4">
        <v>10.4</v>
      </c>
      <c r="T152" s="2">
        <v>36</v>
      </c>
      <c r="U152" s="3">
        <f>IF(OR(R152&lt;=0,S152&lt;0,T152&lt;=0),"",IF(S152=0,R152/T152,-PMT(S152/1200,T152,R152)))</f>
        <v>35214</v>
      </c>
      <c r="V152" s="2" t="s">
        <v>63</v>
      </c>
      <c r="W152" s="5">
        <v>1498</v>
      </c>
      <c r="X152" s="2">
        <v>119</v>
      </c>
      <c r="Y152" s="4">
        <v>16.92</v>
      </c>
      <c r="Z152" s="5"/>
      <c r="AA152" s="6"/>
      <c r="AB152" s="2">
        <v>5</v>
      </c>
      <c r="AC152" s="2">
        <v>5</v>
      </c>
      <c r="AD152" s="2">
        <v>458</v>
      </c>
      <c r="AE152" s="2"/>
      <c r="AF152" s="2">
        <v>6</v>
      </c>
      <c r="AG152" s="2" t="s">
        <v>63</v>
      </c>
      <c r="AH152" s="2" t="s">
        <v>63</v>
      </c>
      <c r="AI152" s="2" t="s">
        <v>63</v>
      </c>
      <c r="AJ152" s="2" t="s">
        <v>100</v>
      </c>
      <c r="AK152" s="2" t="s">
        <v>84</v>
      </c>
      <c r="AL152" s="5">
        <v>11900</v>
      </c>
      <c r="AM152" s="2" t="s">
        <v>441</v>
      </c>
      <c r="AN152" s="2" t="s">
        <v>67</v>
      </c>
      <c r="AO152" s="2" t="s">
        <v>68</v>
      </c>
      <c r="AP152" s="2" t="s">
        <v>69</v>
      </c>
      <c r="AQ152" s="2" t="s">
        <v>263</v>
      </c>
      <c r="AR152" s="2" t="s">
        <v>71</v>
      </c>
      <c r="AS152" s="2" t="s">
        <v>63</v>
      </c>
      <c r="AT152" s="2" t="s">
        <v>63</v>
      </c>
      <c r="AU152" s="2" t="s">
        <v>72</v>
      </c>
      <c r="AV152" s="2" t="s">
        <v>340</v>
      </c>
      <c r="AW152" s="2" t="s">
        <v>786</v>
      </c>
      <c r="AX152" s="2" t="s">
        <v>92</v>
      </c>
      <c r="AY152" s="3">
        <v>8900</v>
      </c>
      <c r="AZ152" s="2" t="s">
        <v>76</v>
      </c>
      <c r="BA152" s="2"/>
    </row>
    <row r="153" ht="20" customHeight="1" spans="1:53" x14ac:dyDescent="0.25">
      <c r="A153" s="2" t="s">
        <v>787</v>
      </c>
      <c r="B153" s="2" t="s">
        <v>321</v>
      </c>
      <c r="C153" s="2" t="s">
        <v>343</v>
      </c>
      <c r="D153" s="2" t="s">
        <v>344</v>
      </c>
      <c r="E153" s="2" t="s">
        <v>345</v>
      </c>
      <c r="F153" s="2">
        <v>2019</v>
      </c>
      <c r="G153" s="2">
        <v>2019</v>
      </c>
      <c r="H153" s="2" t="s">
        <v>58</v>
      </c>
      <c r="I153" s="2" t="s">
        <v>149</v>
      </c>
      <c r="J153" s="2" t="s">
        <v>60</v>
      </c>
      <c r="K153" s="2" t="s">
        <v>137</v>
      </c>
      <c r="L153" s="2">
        <v>1</v>
      </c>
      <c r="M153" s="3">
        <v>445000</v>
      </c>
      <c r="N153" s="3">
        <v>900000</v>
      </c>
      <c r="O153" s="8" t="s">
        <v>63</v>
      </c>
      <c r="P153" s="3">
        <v>425000</v>
      </c>
      <c r="Q153" s="3">
        <v>110000</v>
      </c>
      <c r="R153" s="3">
        <f>IF(V153="No",0,MAX(0,M153-Q153))</f>
        <v>335000</v>
      </c>
      <c r="S153" s="4">
        <v>11.3</v>
      </c>
      <c r="T153" s="2">
        <v>48</v>
      </c>
      <c r="U153" s="3">
        <f>IF(OR(R153&lt;=0,S153&lt;0,T153&lt;=0),"",IF(S153=0,R153/T153,-PMT(S153/1200,T153,R153)))</f>
        <v>8707</v>
      </c>
      <c r="V153" s="2" t="s">
        <v>63</v>
      </c>
      <c r="W153" s="5">
        <v>1199</v>
      </c>
      <c r="X153" s="2">
        <v>89</v>
      </c>
      <c r="Y153" s="4">
        <v>19.46</v>
      </c>
      <c r="Z153" s="5"/>
      <c r="AA153" s="6"/>
      <c r="AB153" s="2">
        <v>5</v>
      </c>
      <c r="AC153" s="2">
        <v>4</v>
      </c>
      <c r="AD153" s="2">
        <v>416</v>
      </c>
      <c r="AE153" s="2"/>
      <c r="AF153" s="2">
        <v>6</v>
      </c>
      <c r="AG153" s="2" t="s">
        <v>63</v>
      </c>
      <c r="AH153" s="2" t="s">
        <v>63</v>
      </c>
      <c r="AI153" s="2" t="s">
        <v>63</v>
      </c>
      <c r="AJ153" s="2" t="s">
        <v>113</v>
      </c>
      <c r="AK153" s="2" t="s">
        <v>162</v>
      </c>
      <c r="AL153" s="5">
        <v>64900</v>
      </c>
      <c r="AM153" s="2" t="s">
        <v>449</v>
      </c>
      <c r="AN153" s="2" t="s">
        <v>86</v>
      </c>
      <c r="AO153" s="2" t="s">
        <v>87</v>
      </c>
      <c r="AP153" s="2" t="s">
        <v>69</v>
      </c>
      <c r="AQ153" s="2" t="s">
        <v>271</v>
      </c>
      <c r="AR153" s="2" t="s">
        <v>89</v>
      </c>
      <c r="AS153" s="2" t="s">
        <v>63</v>
      </c>
      <c r="AT153" s="2" t="s">
        <v>62</v>
      </c>
      <c r="AU153" s="2" t="s">
        <v>62</v>
      </c>
      <c r="AV153" s="2" t="s">
        <v>347</v>
      </c>
      <c r="AW153" s="2" t="s">
        <v>788</v>
      </c>
      <c r="AX153" s="2" t="s">
        <v>120</v>
      </c>
      <c r="AY153" s="3">
        <v>9100</v>
      </c>
      <c r="AZ153" s="2" t="s">
        <v>76</v>
      </c>
      <c r="BA153" s="2"/>
    </row>
    <row r="154" ht="20" customHeight="1" spans="1:53" x14ac:dyDescent="0.25">
      <c r="A154" s="2" t="s">
        <v>789</v>
      </c>
      <c r="B154" s="2" t="s">
        <v>350</v>
      </c>
      <c r="C154" s="2" t="s">
        <v>351</v>
      </c>
      <c r="D154" s="2" t="s">
        <v>352</v>
      </c>
      <c r="E154" s="2" t="s">
        <v>353</v>
      </c>
      <c r="F154" s="2">
        <v>2023</v>
      </c>
      <c r="G154" s="2">
        <v>2023</v>
      </c>
      <c r="H154" s="2" t="s">
        <v>58</v>
      </c>
      <c r="I154" s="2" t="s">
        <v>125</v>
      </c>
      <c r="J154" s="2" t="s">
        <v>136</v>
      </c>
      <c r="K154" s="2" t="s">
        <v>137</v>
      </c>
      <c r="L154" s="2">
        <v>1</v>
      </c>
      <c r="M154" s="3">
        <v>2125000</v>
      </c>
      <c r="N154" s="3">
        <v>2865000</v>
      </c>
      <c r="O154" s="8" t="s">
        <v>63</v>
      </c>
      <c r="P154" s="3">
        <v>2040000</v>
      </c>
      <c r="Q154" s="3">
        <v>530000</v>
      </c>
      <c r="R154" s="3">
        <f>IF(V154="No",0,MAX(0,M154-Q154))</f>
        <v>1595000</v>
      </c>
      <c r="S154" s="4">
        <v>10.7</v>
      </c>
      <c r="T154" s="2">
        <v>60</v>
      </c>
      <c r="U154" s="3">
        <f>IF(OR(R154&lt;=0,S154&lt;0,T154&lt;=0),"",IF(S154=0,R154/T154,-PMT(S154/1200,T154,R154)))</f>
        <v>34441</v>
      </c>
      <c r="V154" s="2" t="s">
        <v>63</v>
      </c>
      <c r="W154" s="5">
        <v>1987</v>
      </c>
      <c r="X154" s="2">
        <v>184</v>
      </c>
      <c r="Y154" s="4">
        <v>23.24</v>
      </c>
      <c r="Z154" s="5"/>
      <c r="AA154" s="6"/>
      <c r="AB154" s="2">
        <v>7</v>
      </c>
      <c r="AC154" s="2">
        <v>5</v>
      </c>
      <c r="AD154" s="2">
        <v>300</v>
      </c>
      <c r="AE154" s="2" t="s">
        <v>138</v>
      </c>
      <c r="AF154" s="2">
        <v>6</v>
      </c>
      <c r="AG154" s="2" t="s">
        <v>63</v>
      </c>
      <c r="AH154" s="2" t="s">
        <v>63</v>
      </c>
      <c r="AI154" s="2" t="s">
        <v>63</v>
      </c>
      <c r="AJ154" s="2" t="s">
        <v>64</v>
      </c>
      <c r="AK154" s="2" t="s">
        <v>101</v>
      </c>
      <c r="AL154" s="5">
        <v>32500</v>
      </c>
      <c r="AM154" s="2" t="s">
        <v>790</v>
      </c>
      <c r="AN154" s="2" t="s">
        <v>103</v>
      </c>
      <c r="AO154" s="2" t="s">
        <v>104</v>
      </c>
      <c r="AP154" s="2" t="s">
        <v>69</v>
      </c>
      <c r="AQ154" s="2" t="s">
        <v>280</v>
      </c>
      <c r="AR154" s="2" t="s">
        <v>89</v>
      </c>
      <c r="AS154" s="2" t="s">
        <v>63</v>
      </c>
      <c r="AT154" s="2" t="s">
        <v>63</v>
      </c>
      <c r="AU154" s="2" t="s">
        <v>62</v>
      </c>
      <c r="AV154" s="2" t="s">
        <v>355</v>
      </c>
      <c r="AW154" s="2" t="s">
        <v>791</v>
      </c>
      <c r="AX154" s="2" t="s">
        <v>92</v>
      </c>
      <c r="AY154" s="3">
        <v>11400</v>
      </c>
      <c r="AZ154" s="2" t="s">
        <v>76</v>
      </c>
      <c r="BA154" s="2"/>
    </row>
    <row r="155" ht="20" customHeight="1" spans="1:53" x14ac:dyDescent="0.25">
      <c r="A155" s="2" t="s">
        <v>792</v>
      </c>
      <c r="B155" s="2" t="s">
        <v>350</v>
      </c>
      <c r="C155" s="2" t="s">
        <v>358</v>
      </c>
      <c r="D155" s="2" t="s">
        <v>359</v>
      </c>
      <c r="E155" s="2" t="s">
        <v>360</v>
      </c>
      <c r="F155" s="2">
        <v>2021</v>
      </c>
      <c r="G155" s="2">
        <v>2021</v>
      </c>
      <c r="H155" s="2" t="s">
        <v>58</v>
      </c>
      <c r="I155" s="2" t="s">
        <v>97</v>
      </c>
      <c r="J155" s="2" t="s">
        <v>172</v>
      </c>
      <c r="K155" s="2" t="s">
        <v>98</v>
      </c>
      <c r="L155" s="2">
        <v>2</v>
      </c>
      <c r="M155" s="3">
        <v>2530000</v>
      </c>
      <c r="N155" s="3">
        <v>4170000</v>
      </c>
      <c r="O155" s="2" t="s">
        <v>62</v>
      </c>
      <c r="P155" s="3">
        <v>2530000</v>
      </c>
      <c r="Q155" s="3">
        <v>635000</v>
      </c>
      <c r="R155" s="3">
        <f>IF(V155="No",0,MAX(0,M155-Q155))</f>
        <v>1895000</v>
      </c>
      <c r="S155" s="4">
        <v>11</v>
      </c>
      <c r="T155" s="2">
        <v>36</v>
      </c>
      <c r="U155" s="3">
        <f>IF(OR(R155&lt;=0,S155&lt;0,T155&lt;=0),"",IF(S155=0,R155/T155,-PMT(S155/1200,T155,R155)))</f>
        <v>62040</v>
      </c>
      <c r="V155" s="2" t="s">
        <v>63</v>
      </c>
      <c r="W155" s="5">
        <v>2755</v>
      </c>
      <c r="X155" s="2">
        <v>201</v>
      </c>
      <c r="Y155" s="4">
        <v>14.2</v>
      </c>
      <c r="Z155" s="5"/>
      <c r="AA155" s="6"/>
      <c r="AB155" s="2">
        <v>7</v>
      </c>
      <c r="AC155" s="2">
        <v>5</v>
      </c>
      <c r="AD155" s="2">
        <v>296</v>
      </c>
      <c r="AE155" s="2" t="s">
        <v>324</v>
      </c>
      <c r="AF155" s="2">
        <v>7</v>
      </c>
      <c r="AG155" s="2" t="s">
        <v>63</v>
      </c>
      <c r="AH155" s="2" t="s">
        <v>63</v>
      </c>
      <c r="AI155" s="2" t="s">
        <v>63</v>
      </c>
      <c r="AJ155" s="2" t="s">
        <v>83</v>
      </c>
      <c r="AK155" s="2" t="s">
        <v>162</v>
      </c>
      <c r="AL155" s="5">
        <v>71100</v>
      </c>
      <c r="AM155" s="2" t="s">
        <v>463</v>
      </c>
      <c r="AN155" s="2" t="s">
        <v>115</v>
      </c>
      <c r="AO155" s="2" t="s">
        <v>116</v>
      </c>
      <c r="AP155" s="2" t="s">
        <v>69</v>
      </c>
      <c r="AQ155" s="2" t="s">
        <v>289</v>
      </c>
      <c r="AR155" s="2" t="s">
        <v>71</v>
      </c>
      <c r="AS155" s="2" t="s">
        <v>63</v>
      </c>
      <c r="AT155" s="2" t="s">
        <v>62</v>
      </c>
      <c r="AU155" s="2" t="s">
        <v>62</v>
      </c>
      <c r="AV155" s="2" t="s">
        <v>362</v>
      </c>
      <c r="AW155" s="2" t="s">
        <v>793</v>
      </c>
      <c r="AX155" s="2" t="s">
        <v>335</v>
      </c>
      <c r="AY155" s="3">
        <v>17400</v>
      </c>
      <c r="AZ155" s="2" t="s">
        <v>76</v>
      </c>
      <c r="BA155" s="2"/>
    </row>
    <row r="156" ht="20" customHeight="1" spans="1:53" x14ac:dyDescent="0.25">
      <c r="A156" s="2" t="s">
        <v>794</v>
      </c>
      <c r="B156" s="2" t="s">
        <v>350</v>
      </c>
      <c r="C156" s="2" t="s">
        <v>365</v>
      </c>
      <c r="D156" s="2" t="s">
        <v>366</v>
      </c>
      <c r="E156" s="2" t="s">
        <v>367</v>
      </c>
      <c r="F156" s="2">
        <v>2025</v>
      </c>
      <c r="G156" s="2">
        <v>2025</v>
      </c>
      <c r="H156" s="2" t="s">
        <v>58</v>
      </c>
      <c r="I156" s="2" t="s">
        <v>97</v>
      </c>
      <c r="J156" s="2" t="s">
        <v>136</v>
      </c>
      <c r="K156" s="2" t="s">
        <v>137</v>
      </c>
      <c r="L156" s="2">
        <v>1</v>
      </c>
      <c r="M156" s="3">
        <v>1785000</v>
      </c>
      <c r="N156" s="3">
        <v>1970000</v>
      </c>
      <c r="O156" s="8" t="s">
        <v>63</v>
      </c>
      <c r="P156" s="3">
        <v>1695000</v>
      </c>
      <c r="Q156" s="3">
        <v>445000</v>
      </c>
      <c r="R156" s="3">
        <f>IF(V156="No",0,MAX(0,M156-Q156))</f>
        <v>1340000</v>
      </c>
      <c r="S156" s="4">
        <v>10.4</v>
      </c>
      <c r="T156" s="2">
        <v>48</v>
      </c>
      <c r="U156" s="3">
        <f>IF(OR(R156&lt;=0,S156&lt;0,T156&lt;=0),"",IF(S156=0,R156/T156,-PMT(S156/1200,T156,R156)))</f>
        <v>34244</v>
      </c>
      <c r="V156" s="2" t="s">
        <v>63</v>
      </c>
      <c r="W156" s="5">
        <v>1490</v>
      </c>
      <c r="X156" s="2">
        <v>114</v>
      </c>
      <c r="Y156" s="4">
        <v>27.97</v>
      </c>
      <c r="Z156" s="5"/>
      <c r="AA156" s="6"/>
      <c r="AB156" s="2">
        <v>5</v>
      </c>
      <c r="AC156" s="2">
        <v>5</v>
      </c>
      <c r="AD156" s="2">
        <v>265</v>
      </c>
      <c r="AE156" s="2"/>
      <c r="AF156" s="2">
        <v>6</v>
      </c>
      <c r="AG156" s="2" t="s">
        <v>63</v>
      </c>
      <c r="AH156" s="2" t="s">
        <v>63</v>
      </c>
      <c r="AI156" s="2" t="s">
        <v>63</v>
      </c>
      <c r="AJ156" s="2" t="s">
        <v>100</v>
      </c>
      <c r="AK156" s="2" t="s">
        <v>84</v>
      </c>
      <c r="AL156" s="5">
        <v>10800</v>
      </c>
      <c r="AM156" s="2" t="s">
        <v>471</v>
      </c>
      <c r="AN156" s="2" t="s">
        <v>127</v>
      </c>
      <c r="AO156" s="2" t="s">
        <v>127</v>
      </c>
      <c r="AP156" s="2" t="s">
        <v>128</v>
      </c>
      <c r="AQ156" s="2" t="s">
        <v>70</v>
      </c>
      <c r="AR156" s="2" t="s">
        <v>89</v>
      </c>
      <c r="AS156" s="2" t="s">
        <v>62</v>
      </c>
      <c r="AT156" s="2" t="s">
        <v>63</v>
      </c>
      <c r="AU156" s="2" t="s">
        <v>62</v>
      </c>
      <c r="AV156" s="2" t="s">
        <v>369</v>
      </c>
      <c r="AW156" s="2" t="s">
        <v>795</v>
      </c>
      <c r="AX156" s="2" t="s">
        <v>92</v>
      </c>
      <c r="AY156" s="3">
        <v>9300</v>
      </c>
      <c r="AZ156" s="2" t="s">
        <v>76</v>
      </c>
      <c r="BA156" s="2"/>
    </row>
    <row r="157" ht="20" customHeight="1" spans="1:53" x14ac:dyDescent="0.25">
      <c r="A157" s="2" t="s">
        <v>796</v>
      </c>
      <c r="B157" s="2" t="s">
        <v>350</v>
      </c>
      <c r="C157" s="2" t="s">
        <v>372</v>
      </c>
      <c r="D157" s="2" t="s">
        <v>373</v>
      </c>
      <c r="E157" s="2" t="s">
        <v>374</v>
      </c>
      <c r="F157" s="2">
        <v>2023</v>
      </c>
      <c r="G157" s="2">
        <v>2024</v>
      </c>
      <c r="H157" s="2" t="s">
        <v>58</v>
      </c>
      <c r="I157" s="2" t="s">
        <v>59</v>
      </c>
      <c r="J157" s="2" t="s">
        <v>60</v>
      </c>
      <c r="K157" s="2" t="s">
        <v>81</v>
      </c>
      <c r="L157" s="2">
        <v>1</v>
      </c>
      <c r="M157" s="3">
        <v>685000</v>
      </c>
      <c r="N157" s="3">
        <v>925000</v>
      </c>
      <c r="O157" s="8" t="s">
        <v>63</v>
      </c>
      <c r="P157" s="3">
        <v>660000</v>
      </c>
      <c r="Q157" s="3">
        <v>170000</v>
      </c>
      <c r="R157" s="3">
        <f>IF(V157="No",0,MAX(0,M157-Q157))</f>
        <v>515000</v>
      </c>
      <c r="S157" s="4">
        <v>10.7</v>
      </c>
      <c r="T157" s="2">
        <v>60</v>
      </c>
      <c r="U157" s="3">
        <f>IF(OR(R157&lt;=0,S157&lt;0,T157&lt;=0),"",IF(S157=0,R157/T157,-PMT(S157/1200,T157,R157)))</f>
        <v>11120</v>
      </c>
      <c r="V157" s="2" t="s">
        <v>63</v>
      </c>
      <c r="W157" s="5">
        <v>1197</v>
      </c>
      <c r="X157" s="2">
        <v>89</v>
      </c>
      <c r="Y157" s="4">
        <v>22.94</v>
      </c>
      <c r="Z157" s="5"/>
      <c r="AA157" s="6"/>
      <c r="AB157" s="2">
        <v>5</v>
      </c>
      <c r="AC157" s="2">
        <v>5</v>
      </c>
      <c r="AD157" s="2">
        <v>318</v>
      </c>
      <c r="AE157" s="2"/>
      <c r="AF157" s="2">
        <v>6</v>
      </c>
      <c r="AG157" s="2" t="s">
        <v>63</v>
      </c>
      <c r="AH157" s="2" t="s">
        <v>63</v>
      </c>
      <c r="AI157" s="2" t="s">
        <v>63</v>
      </c>
      <c r="AJ157" s="2" t="s">
        <v>113</v>
      </c>
      <c r="AK157" s="2" t="s">
        <v>101</v>
      </c>
      <c r="AL157" s="5">
        <v>31200</v>
      </c>
      <c r="AM157" s="2" t="s">
        <v>679</v>
      </c>
      <c r="AN157" s="2" t="s">
        <v>115</v>
      </c>
      <c r="AO157" s="2" t="s">
        <v>140</v>
      </c>
      <c r="AP157" s="2" t="s">
        <v>141</v>
      </c>
      <c r="AQ157" s="2" t="s">
        <v>88</v>
      </c>
      <c r="AR157" s="2" t="s">
        <v>89</v>
      </c>
      <c r="AS157" s="2" t="s">
        <v>63</v>
      </c>
      <c r="AT157" s="2" t="s">
        <v>63</v>
      </c>
      <c r="AU157" s="2" t="s">
        <v>62</v>
      </c>
      <c r="AV157" s="2" t="s">
        <v>376</v>
      </c>
      <c r="AW157" s="2" t="s">
        <v>797</v>
      </c>
      <c r="AX157" s="2" t="s">
        <v>75</v>
      </c>
      <c r="AY157" s="3">
        <v>7300</v>
      </c>
      <c r="AZ157" s="2" t="s">
        <v>76</v>
      </c>
      <c r="BA157" s="2"/>
    </row>
    <row r="158" ht="20" customHeight="1" spans="1:53" x14ac:dyDescent="0.25">
      <c r="A158" s="2" t="s">
        <v>798</v>
      </c>
      <c r="B158" s="2" t="s">
        <v>379</v>
      </c>
      <c r="C158" s="2" t="s">
        <v>380</v>
      </c>
      <c r="D158" s="2" t="s">
        <v>381</v>
      </c>
      <c r="E158" s="2" t="s">
        <v>382</v>
      </c>
      <c r="F158" s="2">
        <v>2018</v>
      </c>
      <c r="G158" s="2">
        <v>2018</v>
      </c>
      <c r="H158" s="2" t="s">
        <v>58</v>
      </c>
      <c r="I158" s="2" t="s">
        <v>97</v>
      </c>
      <c r="J158" s="2" t="s">
        <v>60</v>
      </c>
      <c r="K158" s="2" t="s">
        <v>161</v>
      </c>
      <c r="L158" s="2">
        <v>3</v>
      </c>
      <c r="M158" s="3">
        <v>665000</v>
      </c>
      <c r="N158" s="3">
        <v>1630000</v>
      </c>
      <c r="O158" s="2" t="s">
        <v>62</v>
      </c>
      <c r="P158" s="3">
        <v>665000</v>
      </c>
      <c r="Q158" s="3">
        <v>165000</v>
      </c>
      <c r="R158" s="3">
        <f>IF(V158="No",0,MAX(0,M158-Q158))</f>
        <v>500000</v>
      </c>
      <c r="S158" s="4">
        <v>11.45</v>
      </c>
      <c r="T158" s="2">
        <v>36</v>
      </c>
      <c r="U158" s="3">
        <f>IF(OR(R158&lt;=0,S158&lt;0,T158&lt;=0),"",IF(S158=0,R158/T158,-PMT(S158/1200,T158,R158)))</f>
        <v>16476</v>
      </c>
      <c r="V158" s="2" t="s">
        <v>63</v>
      </c>
      <c r="W158" s="5">
        <v>1482</v>
      </c>
      <c r="X158" s="2">
        <v>158</v>
      </c>
      <c r="Y158" s="4">
        <v>17.9</v>
      </c>
      <c r="Z158" s="5"/>
      <c r="AA158" s="6"/>
      <c r="AB158" s="2">
        <v>5</v>
      </c>
      <c r="AC158" s="2">
        <v>5</v>
      </c>
      <c r="AD158" s="2">
        <v>433</v>
      </c>
      <c r="AE158" s="2"/>
      <c r="AF158" s="2">
        <v>6</v>
      </c>
      <c r="AG158" s="2" t="s">
        <v>63</v>
      </c>
      <c r="AH158" s="2" t="s">
        <v>63</v>
      </c>
      <c r="AI158" s="2" t="s">
        <v>63</v>
      </c>
      <c r="AJ158" s="2" t="s">
        <v>64</v>
      </c>
      <c r="AK158" s="2" t="s">
        <v>65</v>
      </c>
      <c r="AL158" s="7">
        <v>96400</v>
      </c>
      <c r="AM158" s="2" t="s">
        <v>485</v>
      </c>
      <c r="AN158" s="2" t="s">
        <v>67</v>
      </c>
      <c r="AO158" s="2" t="s">
        <v>152</v>
      </c>
      <c r="AP158" s="2" t="s">
        <v>69</v>
      </c>
      <c r="AQ158" s="2" t="s">
        <v>105</v>
      </c>
      <c r="AR158" s="2" t="s">
        <v>71</v>
      </c>
      <c r="AS158" s="2" t="s">
        <v>63</v>
      </c>
      <c r="AT158" s="2" t="s">
        <v>62</v>
      </c>
      <c r="AU158" s="2" t="s">
        <v>62</v>
      </c>
      <c r="AV158" s="2" t="s">
        <v>384</v>
      </c>
      <c r="AW158" s="2" t="s">
        <v>799</v>
      </c>
      <c r="AX158" s="2" t="s">
        <v>92</v>
      </c>
      <c r="AY158" s="3">
        <v>13100</v>
      </c>
      <c r="AZ158" s="2" t="s">
        <v>76</v>
      </c>
      <c r="BA158" s="2"/>
    </row>
    <row r="159" ht="20" customHeight="1" spans="1:53" x14ac:dyDescent="0.25">
      <c r="A159" s="2" t="s">
        <v>800</v>
      </c>
      <c r="B159" s="2" t="s">
        <v>379</v>
      </c>
      <c r="C159" s="2" t="s">
        <v>387</v>
      </c>
      <c r="D159" s="2" t="s">
        <v>388</v>
      </c>
      <c r="E159" s="2" t="s">
        <v>389</v>
      </c>
      <c r="F159" s="2">
        <v>2025</v>
      </c>
      <c r="G159" s="2">
        <v>2025</v>
      </c>
      <c r="H159" s="2" t="s">
        <v>58</v>
      </c>
      <c r="I159" s="2" t="s">
        <v>97</v>
      </c>
      <c r="J159" s="2" t="s">
        <v>172</v>
      </c>
      <c r="K159" s="2" t="s">
        <v>98</v>
      </c>
      <c r="L159" s="2">
        <v>1</v>
      </c>
      <c r="M159" s="3">
        <v>1375000</v>
      </c>
      <c r="N159" s="3">
        <v>1520000</v>
      </c>
      <c r="O159" s="8" t="s">
        <v>63</v>
      </c>
      <c r="P159" s="3">
        <v>1305000</v>
      </c>
      <c r="Q159" s="3">
        <v>345000</v>
      </c>
      <c r="R159" s="3">
        <f>IF(V159="No",0,MAX(0,M159-Q159))</f>
        <v>1030000</v>
      </c>
      <c r="S159" s="4">
        <v>10.4</v>
      </c>
      <c r="T159" s="2">
        <v>48</v>
      </c>
      <c r="U159" s="3">
        <f>IF(OR(R159&lt;=0,S159&lt;0,T159&lt;=0),"",IF(S159=0,R159/T159,-PMT(S159/1200,T159,R159)))</f>
        <v>26322</v>
      </c>
      <c r="V159" s="2" t="s">
        <v>63</v>
      </c>
      <c r="W159" s="5">
        <v>1493</v>
      </c>
      <c r="X159" s="2">
        <v>114</v>
      </c>
      <c r="Y159" s="4">
        <v>18.6</v>
      </c>
      <c r="Z159" s="5"/>
      <c r="AA159" s="6"/>
      <c r="AB159" s="2">
        <v>5</v>
      </c>
      <c r="AC159" s="2">
        <v>5</v>
      </c>
      <c r="AD159" s="2">
        <v>385</v>
      </c>
      <c r="AE159" s="2"/>
      <c r="AF159" s="2">
        <v>6</v>
      </c>
      <c r="AG159" s="2" t="s">
        <v>63</v>
      </c>
      <c r="AH159" s="2" t="s">
        <v>63</v>
      </c>
      <c r="AI159" s="2" t="s">
        <v>63</v>
      </c>
      <c r="AJ159" s="2" t="s">
        <v>83</v>
      </c>
      <c r="AK159" s="2" t="s">
        <v>84</v>
      </c>
      <c r="AL159" s="5">
        <v>13500</v>
      </c>
      <c r="AM159" s="2" t="s">
        <v>493</v>
      </c>
      <c r="AN159" s="2" t="s">
        <v>164</v>
      </c>
      <c r="AO159" s="2" t="s">
        <v>165</v>
      </c>
      <c r="AP159" s="2" t="s">
        <v>69</v>
      </c>
      <c r="AQ159" s="2" t="s">
        <v>117</v>
      </c>
      <c r="AR159" s="2" t="s">
        <v>89</v>
      </c>
      <c r="AS159" s="2" t="s">
        <v>63</v>
      </c>
      <c r="AT159" s="2" t="s">
        <v>63</v>
      </c>
      <c r="AU159" s="2" t="s">
        <v>62</v>
      </c>
      <c r="AV159" s="2" t="s">
        <v>391</v>
      </c>
      <c r="AW159" s="2" t="s">
        <v>801</v>
      </c>
      <c r="AX159" s="2" t="s">
        <v>75</v>
      </c>
      <c r="AY159" s="3">
        <v>9000</v>
      </c>
      <c r="AZ159" s="2" t="s">
        <v>76</v>
      </c>
      <c r="BA159" s="2"/>
    </row>
    <row r="160" ht="20" customHeight="1" spans="1:53" x14ac:dyDescent="0.25">
      <c r="A160" s="2" t="s">
        <v>802</v>
      </c>
      <c r="B160" s="2" t="s">
        <v>379</v>
      </c>
      <c r="C160" s="2" t="s">
        <v>394</v>
      </c>
      <c r="D160" s="2" t="s">
        <v>395</v>
      </c>
      <c r="E160" s="2" t="s">
        <v>396</v>
      </c>
      <c r="F160" s="2">
        <v>2020</v>
      </c>
      <c r="G160" s="2">
        <v>2020</v>
      </c>
      <c r="H160" s="2" t="s">
        <v>58</v>
      </c>
      <c r="I160" s="2" t="s">
        <v>125</v>
      </c>
      <c r="J160" s="2" t="s">
        <v>60</v>
      </c>
      <c r="K160" s="2" t="s">
        <v>161</v>
      </c>
      <c r="L160" s="2">
        <v>1</v>
      </c>
      <c r="M160" s="3">
        <v>910000</v>
      </c>
      <c r="N160" s="3">
        <v>1655000</v>
      </c>
      <c r="O160" s="8" t="s">
        <v>63</v>
      </c>
      <c r="P160" s="3">
        <v>875000</v>
      </c>
      <c r="Q160" s="3">
        <v>230000</v>
      </c>
      <c r="R160" s="3">
        <f>IF(V160="No",0,MAX(0,M160-Q160))</f>
        <v>680000</v>
      </c>
      <c r="S160" s="4">
        <v>11.15</v>
      </c>
      <c r="T160" s="2">
        <v>60</v>
      </c>
      <c r="U160" s="3">
        <f>IF(OR(R160&lt;=0,S160&lt;0,T160&lt;=0),"",IF(S160=0,R160/T160,-PMT(S160/1200,T160,R160)))</f>
        <v>14836</v>
      </c>
      <c r="V160" s="2" t="s">
        <v>63</v>
      </c>
      <c r="W160" s="5">
        <v>1482</v>
      </c>
      <c r="X160" s="2">
        <v>158</v>
      </c>
      <c r="Y160" s="4">
        <v>16.8</v>
      </c>
      <c r="Z160" s="5"/>
      <c r="AA160" s="6"/>
      <c r="AB160" s="2">
        <v>7</v>
      </c>
      <c r="AC160" s="2">
        <v>5</v>
      </c>
      <c r="AD160" s="2">
        <v>216</v>
      </c>
      <c r="AE160" s="2" t="s">
        <v>183</v>
      </c>
      <c r="AF160" s="2">
        <v>6</v>
      </c>
      <c r="AG160" s="2" t="s">
        <v>63</v>
      </c>
      <c r="AH160" s="2" t="s">
        <v>63</v>
      </c>
      <c r="AI160" s="2" t="s">
        <v>63</v>
      </c>
      <c r="AJ160" s="2" t="s">
        <v>100</v>
      </c>
      <c r="AK160" s="2" t="s">
        <v>101</v>
      </c>
      <c r="AL160" s="5">
        <v>60300</v>
      </c>
      <c r="AM160" s="2" t="s">
        <v>500</v>
      </c>
      <c r="AN160" s="2" t="s">
        <v>174</v>
      </c>
      <c r="AO160" s="2" t="s">
        <v>175</v>
      </c>
      <c r="AP160" s="2" t="s">
        <v>69</v>
      </c>
      <c r="AQ160" s="2" t="s">
        <v>129</v>
      </c>
      <c r="AR160" s="2" t="s">
        <v>89</v>
      </c>
      <c r="AS160" s="2" t="s">
        <v>63</v>
      </c>
      <c r="AT160" s="2" t="s">
        <v>62</v>
      </c>
      <c r="AU160" s="2" t="s">
        <v>62</v>
      </c>
      <c r="AV160" s="2" t="s">
        <v>398</v>
      </c>
      <c r="AW160" s="2" t="s">
        <v>803</v>
      </c>
      <c r="AX160" s="2" t="s">
        <v>92</v>
      </c>
      <c r="AY160" s="3">
        <v>11800</v>
      </c>
      <c r="AZ160" s="2" t="s">
        <v>76</v>
      </c>
      <c r="BA160" s="2"/>
    </row>
    <row r="161" ht="20" customHeight="1" spans="1:53" x14ac:dyDescent="0.25">
      <c r="A161" s="9" t="s">
        <v>804</v>
      </c>
      <c r="B161" s="9" t="s">
        <v>379</v>
      </c>
      <c r="C161" s="9" t="s">
        <v>401</v>
      </c>
      <c r="D161" s="9" t="s">
        <v>402</v>
      </c>
      <c r="E161" s="9" t="s">
        <v>403</v>
      </c>
      <c r="F161" s="9">
        <v>2026</v>
      </c>
      <c r="G161" s="9">
        <v>2026</v>
      </c>
      <c r="H161" s="9" t="s">
        <v>58</v>
      </c>
      <c r="I161" s="9" t="s">
        <v>97</v>
      </c>
      <c r="J161" s="9" t="s">
        <v>210</v>
      </c>
      <c r="K161" s="9" t="s">
        <v>98</v>
      </c>
      <c r="L161" s="9">
        <v>1</v>
      </c>
      <c r="M161" s="10">
        <v>6595000</v>
      </c>
      <c r="N161" s="10">
        <v>6595000</v>
      </c>
      <c r="O161" s="9" t="s">
        <v>62</v>
      </c>
      <c r="P161" s="10">
        <v>6595000</v>
      </c>
      <c r="Q161" s="10">
        <v>1650000</v>
      </c>
      <c r="R161" s="10">
        <f>IF(V161="No",0,MAX(0,M161-Q161))</f>
        <v>4945000</v>
      </c>
      <c r="S161" s="11">
        <v>10.25</v>
      </c>
      <c r="T161" s="9">
        <v>36</v>
      </c>
      <c r="U161" s="10">
        <f>IF(OR(R161&lt;=0,S161&lt;0,T161&lt;=0),"",IF(S161=0,R161/T161,-PMT(S161/1200,T161,R161)))</f>
        <v>160142</v>
      </c>
      <c r="V161" s="9" t="s">
        <v>63</v>
      </c>
      <c r="W161" s="12"/>
      <c r="X161" s="9">
        <v>321</v>
      </c>
      <c r="Y161" s="11"/>
      <c r="Z161" s="12">
        <v>708</v>
      </c>
      <c r="AA161" s="13">
        <v>77.4</v>
      </c>
      <c r="AB161" s="9">
        <v>5</v>
      </c>
      <c r="AC161" s="9">
        <v>5</v>
      </c>
      <c r="AD161" s="9">
        <v>490</v>
      </c>
      <c r="AE161" s="9" t="s">
        <v>211</v>
      </c>
      <c r="AF161" s="9">
        <v>8</v>
      </c>
      <c r="AG161" s="9" t="s">
        <v>63</v>
      </c>
      <c r="AH161" s="9" t="s">
        <v>63</v>
      </c>
      <c r="AI161" s="9" t="s">
        <v>63</v>
      </c>
      <c r="AJ161" s="9" t="s">
        <v>113</v>
      </c>
      <c r="AK161" s="9" t="s">
        <v>84</v>
      </c>
      <c r="AL161" s="12">
        <v>8400</v>
      </c>
      <c r="AM161" s="9" t="s">
        <v>509</v>
      </c>
      <c r="AN161" s="9" t="s">
        <v>185</v>
      </c>
      <c r="AO161" s="9" t="s">
        <v>186</v>
      </c>
      <c r="AP161" s="9" t="s">
        <v>69</v>
      </c>
      <c r="AQ161" s="9" t="s">
        <v>142</v>
      </c>
      <c r="AR161" s="9" t="s">
        <v>71</v>
      </c>
      <c r="AS161" s="9" t="s">
        <v>63</v>
      </c>
      <c r="AT161" s="9" t="s">
        <v>63</v>
      </c>
      <c r="AU161" s="9" t="s">
        <v>62</v>
      </c>
      <c r="AV161" s="9" t="s">
        <v>405</v>
      </c>
      <c r="AW161" s="9" t="s">
        <v>805</v>
      </c>
      <c r="AX161" s="9" t="s">
        <v>197</v>
      </c>
      <c r="AY161" s="10">
        <v>7200</v>
      </c>
      <c r="AZ161" s="9" t="s">
        <v>76</v>
      </c>
      <c r="BA161" s="9"/>
    </row>
  </sheetData>
  <autoFilter ref="A1:BA161"/>
  <conditionalFormatting sqref="A2:BA161">
    <cfRule type="expression" dxfId="0" priority="1">
      <formula>$J2="Electric"</formula>
    </cfRule>
  </conditionalFormatting>
  <conditionalFormatting sqref="O2:O161">
    <cfRule type="cellIs" dxfId="1" priority="2" operator="equal">
      <formula>"Yes"</formula>
    </cfRule>
  </conditionalFormatting>
  <conditionalFormatting sqref="AL2:AL161">
    <cfRule type="cellIs" dxfId="2" priority="3" operator="greaterThan">
      <formula>80000</formula>
    </cfRule>
  </conditionalFormatting>
  <dataValidations count="20">
    <dataValidation type="list" sqref="AK10:AK161">
      <formula1>"New,Like New,Excellent,Good,Fair"</formula1>
    </dataValidation>
    <dataValidation type="list" sqref="AK2:AK161">
      <formula1>"New,Like New,Excellent,Good,Fair"</formula1>
    </dataValidation>
    <dataValidation type="list" sqref="AO10:AO161">
      <formula1>"Chennai,Bengaluru,Hyderabad,Mumbai,Delhi,Pune,Coimbatore,Kochi,Ahmedabad,Kolkata"</formula1>
    </dataValidation>
    <dataValidation type="list" sqref="AO2:AO161">
      <formula1>"Chennai,Bengaluru,Hyderabad,Mumbai,Delhi,Pune,Coimbatore,Kochi,Ahmedabad,Kolkata"</formula1>
    </dataValidation>
    <dataValidation type="list" sqref="AP10:AP161">
      <formula1>"Available,Reserved,Sold"</formula1>
    </dataValidation>
    <dataValidation type="list" sqref="AP2:AP161">
      <formula1>"Available,Reserved,Sold"</formula1>
    </dataValidation>
    <dataValidation type="list" sqref="AR10:AR161">
      <formula1>"Individual,Dealer"</formula1>
    </dataValidation>
    <dataValidation type="list" sqref="AR2:AR161">
      <formula1>"Individual,Dealer"</formula1>
    </dataValidation>
    <dataValidation type="list" sqref="H10:H161">
      <formula1>"New,Used"</formula1>
    </dataValidation>
    <dataValidation type="list" sqref="H2:H161">
      <formula1>"New,Used"</formula1>
    </dataValidation>
    <dataValidation type="list" sqref="I10:I161">
      <formula1>"Hatchback,Sedan,SUV,MUV,Luxury,Coupe"</formula1>
    </dataValidation>
    <dataValidation type="list" sqref="I2:I161">
      <formula1>"Hatchback,Sedan,SUV,MUV,Luxury,Coupe"</formula1>
    </dataValidation>
    <dataValidation type="list" sqref="J10:J161">
      <formula1>"Petrol,Diesel,Electric,CNG,Hybrid"</formula1>
    </dataValidation>
    <dataValidation type="list" sqref="J2:J161">
      <formula1>"Petrol,Diesel,Electric,CNG,Hybrid"</formula1>
    </dataValidation>
    <dataValidation type="list" sqref="K10:K161">
      <formula1>"Manual,Automatic,AMT,CVT,DCT"</formula1>
    </dataValidation>
    <dataValidation type="list" sqref="K2:K161">
      <formula1>"Manual,Automatic,AMT,CVT,DCT"</formula1>
    </dataValidation>
    <dataValidation type="list" sqref="O10:O161">
      <formula1>"Yes,No"</formula1>
    </dataValidation>
    <dataValidation type="list" sqref="O2:O161">
      <formula1>"Yes,No"</formula1>
    </dataValidation>
    <dataValidation type="list" sqref="V10:V161">
      <formula1>"Yes,No"</formula1>
    </dataValidation>
    <dataValidation type="list" sqref="V2:V16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28" customWidth="1"/>
    <col min="4" max="5" width="24" customWidth="1"/>
  </cols>
  <sheetData>
    <row r="1" ht="28" customHeight="1" spans="1:5" x14ac:dyDescent="0.25">
      <c r="A1" s="14" t="s">
        <v>806</v>
      </c>
      <c r="B1" s="14"/>
      <c r="C1" s="14"/>
      <c r="D1" s="14"/>
      <c r="E1" s="14"/>
    </row>
    <row r="2" ht="20" customHeight="1" spans="1:5" x14ac:dyDescent="0.25">
      <c r="A2" s="15" t="s">
        <v>807</v>
      </c>
      <c r="B2" s="15"/>
      <c r="C2" s="15"/>
      <c r="D2" s="15"/>
      <c r="E2" s="15"/>
    </row>
    <row r="4" ht="25" customHeight="1" spans="1:5" x14ac:dyDescent="0.25">
      <c r="A4" s="16" t="s">
        <v>1</v>
      </c>
      <c r="B4" s="16" t="s">
        <v>808</v>
      </c>
      <c r="C4" s="16" t="s">
        <v>809</v>
      </c>
      <c r="D4" s="16" t="s">
        <v>810</v>
      </c>
      <c r="E4" s="16" t="s">
        <v>811</v>
      </c>
    </row>
    <row r="5" ht="20" customHeight="1" spans="1:5" x14ac:dyDescent="0.25">
      <c r="A5" s="17" t="s">
        <v>548</v>
      </c>
      <c r="B5" s="18">
        <f>COUNTIF('Car Listings'!$B$2:$B$161, A5)</f>
        <v>6</v>
      </c>
      <c r="C5" s="19">
        <f>AVERAGEIF('Car Listings'!$B$2:$B$161, A5, 'Car Listings'!$M$2:$M$161)</f>
        <v>4661667</v>
      </c>
      <c r="D5" s="19">
        <f>SUMPRODUCT(MIN(('Car Listings'!$B$2:$B$161=A5)*('Car Listings'!$M$2:$M$161)+('Car Listings'!$B$2:$B$161&lt;&gt;A5)*1000000000))</f>
        <v>1040000</v>
      </c>
      <c r="E5" s="19">
        <f>SUMPRODUCT(MAX(('Car Listings'!$B$2:$B$161=A5)*('Car Listings'!$M$2:$M$161)))</f>
        <v>12700000</v>
      </c>
    </row>
    <row r="6" ht="20" customHeight="1" spans="1:5" x14ac:dyDescent="0.25">
      <c r="A6" s="17" t="s">
        <v>504</v>
      </c>
      <c r="B6" s="18">
        <f>COUNTIF('Car Listings'!$B$2:$B$161, A6)</f>
        <v>6</v>
      </c>
      <c r="C6" s="19">
        <f>AVERAGEIF('Car Listings'!$B$2:$B$161, A6, 'Car Listings'!$M$2:$M$161)</f>
        <v>3058333</v>
      </c>
      <c r="D6" s="19">
        <f>SUMPRODUCT(MIN(('Car Listings'!$B$2:$B$161=A6)*('Car Listings'!$M$2:$M$161)+('Car Listings'!$B$2:$B$161&lt;&gt;A6)*1000000000))</f>
        <v>1065000</v>
      </c>
      <c r="E6" s="19">
        <f>SUMPRODUCT(MAX(('Car Listings'!$B$2:$B$161=A6)*('Car Listings'!$M$2:$M$161)))</f>
        <v>5645000</v>
      </c>
    </row>
    <row r="7" ht="20" customHeight="1" spans="1:5" x14ac:dyDescent="0.25">
      <c r="A7" s="17" t="s">
        <v>489</v>
      </c>
      <c r="B7" s="18">
        <f>COUNTIF('Car Listings'!$B$2:$B$161, A7)</f>
        <v>4</v>
      </c>
      <c r="C7" s="19">
        <f>AVERAGEIF('Car Listings'!$B$2:$B$161, A7, 'Car Listings'!$M$2:$M$161)</f>
        <v>3555000</v>
      </c>
      <c r="D7" s="19">
        <f>SUMPRODUCT(MIN(('Car Listings'!$B$2:$B$161=A7)*('Car Listings'!$M$2:$M$161)+('Car Listings'!$B$2:$B$161&lt;&gt;A7)*1000000000))</f>
        <v>2645000</v>
      </c>
      <c r="E7" s="19">
        <f>SUMPRODUCT(MAX(('Car Listings'!$B$2:$B$161=A7)*('Car Listings'!$M$2:$M$161)))</f>
        <v>4555000</v>
      </c>
    </row>
    <row r="8" ht="20" customHeight="1" spans="1:5" x14ac:dyDescent="0.25">
      <c r="A8" s="17" t="s">
        <v>321</v>
      </c>
      <c r="B8" s="18">
        <f>COUNTIF('Car Listings'!$B$2:$B$161, A8)</f>
        <v>12</v>
      </c>
      <c r="C8" s="19">
        <f>AVERAGEIF('Car Listings'!$B$2:$B$161, A8, 'Car Listings'!$M$2:$M$161)</f>
        <v>821250</v>
      </c>
      <c r="D8" s="19">
        <f>SUMPRODUCT(MIN(('Car Listings'!$B$2:$B$161=A8)*('Car Listings'!$M$2:$M$161)+('Car Listings'!$B$2:$B$161&lt;&gt;A8)*1000000000))</f>
        <v>315000</v>
      </c>
      <c r="E8" s="19">
        <f>SUMPRODUCT(MAX(('Car Listings'!$B$2:$B$161=A8)*('Car Listings'!$M$2:$M$161)))</f>
        <v>1450000</v>
      </c>
    </row>
    <row r="9" ht="20" customHeight="1" spans="1:5" x14ac:dyDescent="0.25">
      <c r="A9" s="17" t="s">
        <v>157</v>
      </c>
      <c r="B9" s="18">
        <f>COUNTIF('Car Listings'!$B$2:$B$161, A9)</f>
        <v>21</v>
      </c>
      <c r="C9" s="19">
        <f>AVERAGEIF('Car Listings'!$B$2:$B$161, A9, 'Car Listings'!$M$2:$M$161)</f>
        <v>1233571</v>
      </c>
      <c r="D9" s="19">
        <f>SUMPRODUCT(MIN(('Car Listings'!$B$2:$B$161=A9)*('Car Listings'!$M$2:$M$161)+('Car Listings'!$B$2:$B$161&lt;&gt;A9)*1000000000))</f>
        <v>180000</v>
      </c>
      <c r="E9" s="19">
        <f>SUMPRODUCT(MAX(('Car Listings'!$B$2:$B$161=A9)*('Car Listings'!$M$2:$M$161)))</f>
        <v>4065000</v>
      </c>
    </row>
    <row r="10" ht="20" customHeight="1" spans="1:5" x14ac:dyDescent="0.25">
      <c r="A10" s="17" t="s">
        <v>569</v>
      </c>
      <c r="B10" s="18">
        <f>COUNTIF('Car Listings'!$B$2:$B$161, A10)</f>
        <v>2</v>
      </c>
      <c r="C10" s="19">
        <f>AVERAGEIF('Car Listings'!$B$2:$B$161, A10, 'Car Listings'!$M$2:$M$161)</f>
        <v>1962500</v>
      </c>
      <c r="D10" s="19">
        <f>SUMPRODUCT(MIN(('Car Listings'!$B$2:$B$161=A10)*('Car Listings'!$M$2:$M$161)+('Car Listings'!$B$2:$B$161&lt;&gt;A10)*1000000000))</f>
        <v>1065000</v>
      </c>
      <c r="E10" s="19">
        <f>SUMPRODUCT(MAX(('Car Listings'!$B$2:$B$161=A10)*('Car Listings'!$M$2:$M$161)))</f>
        <v>2860000</v>
      </c>
    </row>
    <row r="11" ht="20" customHeight="1" spans="1:5" x14ac:dyDescent="0.25">
      <c r="A11" s="17" t="s">
        <v>379</v>
      </c>
      <c r="B11" s="18">
        <f>COUNTIF('Car Listings'!$B$2:$B$161, A11)</f>
        <v>12</v>
      </c>
      <c r="C11" s="19">
        <f>AVERAGEIF('Car Listings'!$B$2:$B$161, A11, 'Car Listings'!$M$2:$M$161)</f>
        <v>2194167</v>
      </c>
      <c r="D11" s="19">
        <f>SUMPRODUCT(MIN(('Car Listings'!$B$2:$B$161=A11)*('Car Listings'!$M$2:$M$161)+('Car Listings'!$B$2:$B$161&lt;&gt;A11)*1000000000))</f>
        <v>510000</v>
      </c>
      <c r="E11" s="19">
        <f>SUMPRODUCT(MAX(('Car Listings'!$B$2:$B$161=A11)*('Car Listings'!$M$2:$M$161)))</f>
        <v>6595000</v>
      </c>
    </row>
    <row r="12" ht="20" customHeight="1" spans="1:5" x14ac:dyDescent="0.25">
      <c r="A12" s="17" t="s">
        <v>467</v>
      </c>
      <c r="B12" s="18">
        <f>COUNTIF('Car Listings'!$B$2:$B$161, A12)</f>
        <v>6</v>
      </c>
      <c r="C12" s="19">
        <f>AVERAGEIF('Car Listings'!$B$2:$B$161, A12, 'Car Listings'!$M$2:$M$161)</f>
        <v>1255000</v>
      </c>
      <c r="D12" s="19">
        <f>SUMPRODUCT(MIN(('Car Listings'!$B$2:$B$161=A12)*('Car Listings'!$M$2:$M$161)+('Car Listings'!$B$2:$B$161&lt;&gt;A12)*1000000000))</f>
        <v>545000</v>
      </c>
      <c r="E12" s="19">
        <f>SUMPRODUCT(MAX(('Car Listings'!$B$2:$B$161=A12)*('Car Listings'!$M$2:$M$161)))</f>
        <v>1550000</v>
      </c>
    </row>
    <row r="13" ht="20" customHeight="1" spans="1:5" x14ac:dyDescent="0.25">
      <c r="A13" s="17" t="s">
        <v>284</v>
      </c>
      <c r="B13" s="18">
        <f>COUNTIF('Car Listings'!$B$2:$B$161, A13)</f>
        <v>15</v>
      </c>
      <c r="C13" s="19">
        <f>AVERAGEIF('Car Listings'!$B$2:$B$161, A13, 'Car Listings'!$M$2:$M$161)</f>
        <v>1545600</v>
      </c>
      <c r="D13" s="19">
        <f>SUMPRODUCT(MIN(('Car Listings'!$B$2:$B$161=A13)*('Car Listings'!$M$2:$M$161)+('Car Listings'!$B$2:$B$161&lt;&gt;A13)*1000000000))</f>
        <v>615000</v>
      </c>
      <c r="E13" s="19">
        <f>SUMPRODUCT(MAX(('Car Listings'!$B$2:$B$161=A13)*('Car Listings'!$M$2:$M$161)))</f>
        <v>2690000</v>
      </c>
    </row>
    <row r="14" ht="20" customHeight="1" spans="1:5" x14ac:dyDescent="0.25">
      <c r="A14" s="17" t="s">
        <v>54</v>
      </c>
      <c r="B14" s="18">
        <f>COUNTIF('Car Listings'!$B$2:$B$161, A14)</f>
        <v>21</v>
      </c>
      <c r="C14" s="19">
        <f>AVERAGEIF('Car Listings'!$B$2:$B$161, A14, 'Car Listings'!$M$2:$M$161)</f>
        <v>721571</v>
      </c>
      <c r="D14" s="19">
        <f>SUMPRODUCT(MIN(('Car Listings'!$B$2:$B$161=A14)*('Car Listings'!$M$2:$M$161)+('Car Listings'!$B$2:$B$161&lt;&gt;A14)*1000000000))</f>
        <v>150000</v>
      </c>
      <c r="E14" s="19">
        <f>SUMPRODUCT(MAX(('Car Listings'!$B$2:$B$161=A14)*('Car Listings'!$M$2:$M$161)))</f>
        <v>1999000</v>
      </c>
    </row>
    <row r="15" ht="20" customHeight="1" spans="1:5" x14ac:dyDescent="0.25">
      <c r="A15" s="17" t="s">
        <v>527</v>
      </c>
      <c r="B15" s="18">
        <f>COUNTIF('Car Listings'!$B$2:$B$161, A15)</f>
        <v>6</v>
      </c>
      <c r="C15" s="19">
        <f>AVERAGEIF('Car Listings'!$B$2:$B$161, A15, 'Car Listings'!$M$2:$M$161)</f>
        <v>4096667</v>
      </c>
      <c r="D15" s="19">
        <f>SUMPRODUCT(MIN(('Car Listings'!$B$2:$B$161=A15)*('Car Listings'!$M$2:$M$161)+('Car Listings'!$B$2:$B$161&lt;&gt;A15)*1000000000))</f>
        <v>1685000</v>
      </c>
      <c r="E15" s="19">
        <f>SUMPRODUCT(MAX(('Car Listings'!$B$2:$B$161=A15)*('Car Listings'!$M$2:$M$161)))</f>
        <v>7590000</v>
      </c>
    </row>
    <row r="16" ht="20" customHeight="1" spans="1:5" x14ac:dyDescent="0.25">
      <c r="A16" s="17" t="s">
        <v>408</v>
      </c>
      <c r="B16" s="18">
        <f>COUNTIF('Car Listings'!$B$2:$B$161, A16)</f>
        <v>6</v>
      </c>
      <c r="C16" s="19">
        <f>AVERAGEIF('Car Listings'!$B$2:$B$161, A16, 'Car Listings'!$M$2:$M$161)</f>
        <v>346667</v>
      </c>
      <c r="D16" s="19">
        <f>SUMPRODUCT(MIN(('Car Listings'!$B$2:$B$161=A16)*('Car Listings'!$M$2:$M$161)+('Car Listings'!$B$2:$B$161&lt;&gt;A16)*1000000000))</f>
        <v>185000</v>
      </c>
      <c r="E16" s="19">
        <f>SUMPRODUCT(MAX(('Car Listings'!$B$2:$B$161=A16)*('Car Listings'!$M$2:$M$161)))</f>
        <v>540000</v>
      </c>
    </row>
    <row r="17" ht="20" customHeight="1" spans="1:5" x14ac:dyDescent="0.25">
      <c r="A17" s="17" t="s">
        <v>445</v>
      </c>
      <c r="B17" s="18">
        <f>COUNTIF('Car Listings'!$B$2:$B$161, A17)</f>
        <v>6</v>
      </c>
      <c r="C17" s="19">
        <f>AVERAGEIF('Car Listings'!$B$2:$B$161, A17, 'Car Listings'!$M$2:$M$161)</f>
        <v>1360500</v>
      </c>
      <c r="D17" s="19">
        <f>SUMPRODUCT(MIN(('Car Listings'!$B$2:$B$161=A17)*('Car Listings'!$M$2:$M$161)+('Car Listings'!$B$2:$B$161&lt;&gt;A17)*1000000000))</f>
        <v>765000</v>
      </c>
      <c r="E17" s="19">
        <f>SUMPRODUCT(MAX(('Car Listings'!$B$2:$B$161=A17)*('Car Listings'!$M$2:$M$161)))</f>
        <v>2049000</v>
      </c>
    </row>
    <row r="18" ht="20" customHeight="1" spans="1:5" x14ac:dyDescent="0.25">
      <c r="A18" s="17" t="s">
        <v>225</v>
      </c>
      <c r="B18" s="18">
        <f>COUNTIF('Car Listings'!$B$2:$B$161, A18)</f>
        <v>21</v>
      </c>
      <c r="C18" s="19">
        <f>AVERAGEIF('Car Listings'!$B$2:$B$161, A18, 'Car Listings'!$M$2:$M$161)</f>
        <v>1330571</v>
      </c>
      <c r="D18" s="19">
        <f>SUMPRODUCT(MIN(('Car Listings'!$B$2:$B$161=A18)*('Car Listings'!$M$2:$M$161)+('Car Listings'!$B$2:$B$161&lt;&gt;A18)*1000000000))</f>
        <v>285000</v>
      </c>
      <c r="E18" s="19">
        <f>SUMPRODUCT(MAX(('Car Listings'!$B$2:$B$161=A18)*('Car Listings'!$M$2:$M$161)))</f>
        <v>2734000</v>
      </c>
    </row>
    <row r="19" ht="20" customHeight="1" spans="1:5" x14ac:dyDescent="0.25">
      <c r="A19" s="17" t="s">
        <v>350</v>
      </c>
      <c r="B19" s="18">
        <f>COUNTIF('Car Listings'!$B$2:$B$161, A19)</f>
        <v>12</v>
      </c>
      <c r="C19" s="19">
        <f>AVERAGEIF('Car Listings'!$B$2:$B$161, A19, 'Car Listings'!$M$2:$M$161)</f>
        <v>1936833</v>
      </c>
      <c r="D19" s="19">
        <f>SUMPRODUCT(MIN(('Car Listings'!$B$2:$B$161=A19)*('Car Listings'!$M$2:$M$161)+('Car Listings'!$B$2:$B$161&lt;&gt;A19)*1000000000))</f>
        <v>250000</v>
      </c>
      <c r="E19" s="19">
        <f>SUMPRODUCT(MAX(('Car Listings'!$B$2:$B$161=A19)*('Car Listings'!$M$2:$M$161)))</f>
        <v>4764000</v>
      </c>
    </row>
    <row r="20" ht="20" customHeight="1" spans="1:5" x14ac:dyDescent="0.25">
      <c r="A20" s="17" t="s">
        <v>430</v>
      </c>
      <c r="B20" s="18">
        <f>COUNTIF('Car Listings'!$B$2:$B$161, A20)</f>
        <v>4</v>
      </c>
      <c r="C20" s="19">
        <f>AVERAGEIF('Car Listings'!$B$2:$B$161, A20, 'Car Listings'!$M$2:$M$161)</f>
        <v>1117500</v>
      </c>
      <c r="D20" s="19">
        <f>SUMPRODUCT(MIN(('Car Listings'!$B$2:$B$161=A20)*('Car Listings'!$M$2:$M$161)+('Car Listings'!$B$2:$B$161&lt;&gt;A20)*1000000000))</f>
        <v>615000</v>
      </c>
      <c r="E20" s="19">
        <f>SUMPRODUCT(MAX(('Car Listings'!$B$2:$B$161=A20)*('Car Listings'!$M$2:$M$161)))</f>
        <v>1535000</v>
      </c>
    </row>
    <row r="21" ht="24" customHeight="1" spans="1:5" x14ac:dyDescent="0.25">
      <c r="A21" s="20" t="s">
        <v>812</v>
      </c>
      <c r="B21" s="21">
        <f>SUM(B5:B20)</f>
        <v>160</v>
      </c>
      <c r="C21" s="22">
        <f>AVERAGE('Car Listings'!$M$2:$M$161)</f>
        <v>1643119</v>
      </c>
      <c r="D21" s="22">
        <f>MIN('Car Listings'!$M$2:$M$161)</f>
        <v>150000</v>
      </c>
      <c r="E21" s="22">
        <f>MAX('Car Listings'!$M$2:$M$161)</f>
        <v>12700000</v>
      </c>
    </row>
  </sheetData>
  <autoFilter ref="A4:E2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24" customWidth="1"/>
    <col min="4" max="4" width="20" customWidth="1"/>
    <col min="5" max="5" width="22" customWidth="1"/>
    <col min="6" max="6" width="20" customWidth="1"/>
    <col min="7" max="7" width="65" customWidth="1"/>
    <col min="8" max="8" width="26" customWidth="1"/>
  </cols>
  <sheetData>
    <row r="1" ht="28" customHeight="1" spans="1:8" x14ac:dyDescent="0.25">
      <c r="A1" s="23" t="s">
        <v>813</v>
      </c>
      <c r="B1" s="23"/>
      <c r="C1" s="23"/>
      <c r="D1" s="23"/>
      <c r="E1" s="23"/>
      <c r="F1" s="23"/>
      <c r="G1" s="23"/>
      <c r="H1" s="23"/>
    </row>
    <row r="2" ht="24" customHeight="1" spans="1:8" x14ac:dyDescent="0.25">
      <c r="A2" s="24" t="s">
        <v>814</v>
      </c>
      <c r="B2" s="24"/>
      <c r="C2" s="24"/>
      <c r="D2" s="24"/>
      <c r="E2" s="24"/>
      <c r="F2" s="24"/>
      <c r="G2" s="24"/>
      <c r="H2" s="24"/>
    </row>
    <row r="3" ht="25" customHeight="1" spans="1:8" x14ac:dyDescent="0.25">
      <c r="A3" s="16" t="s">
        <v>815</v>
      </c>
      <c r="B3" s="16" t="s">
        <v>816</v>
      </c>
      <c r="C3" s="16" t="s">
        <v>817</v>
      </c>
      <c r="D3" s="16" t="s">
        <v>818</v>
      </c>
      <c r="E3" s="16" t="s">
        <v>819</v>
      </c>
      <c r="F3" s="16" t="s">
        <v>820</v>
      </c>
      <c r="G3" s="16" t="s">
        <v>821</v>
      </c>
      <c r="H3" s="16" t="s">
        <v>822</v>
      </c>
    </row>
    <row r="4" ht="20" customHeight="1" spans="1:8" x14ac:dyDescent="0.25">
      <c r="A4" s="17" t="s">
        <v>823</v>
      </c>
      <c r="B4" s="17" t="s">
        <v>0</v>
      </c>
      <c r="C4" s="17" t="s">
        <v>824</v>
      </c>
      <c r="D4" s="17" t="s">
        <v>825</v>
      </c>
      <c r="E4" s="17" t="s">
        <v>826</v>
      </c>
      <c r="F4" s="17" t="s">
        <v>76</v>
      </c>
      <c r="G4" s="17" t="s">
        <v>827</v>
      </c>
      <c r="H4" s="17" t="s">
        <v>53</v>
      </c>
    </row>
    <row r="5" ht="20" customHeight="1" spans="1:8" x14ac:dyDescent="0.25">
      <c r="A5" s="17" t="s">
        <v>828</v>
      </c>
      <c r="B5" s="17" t="s">
        <v>1</v>
      </c>
      <c r="C5" s="17" t="s">
        <v>824</v>
      </c>
      <c r="D5" s="17" t="s">
        <v>825</v>
      </c>
      <c r="E5" s="17" t="s">
        <v>829</v>
      </c>
      <c r="F5" s="17" t="s">
        <v>830</v>
      </c>
      <c r="G5" s="17" t="s">
        <v>831</v>
      </c>
      <c r="H5" s="17" t="s">
        <v>54</v>
      </c>
    </row>
    <row r="6" ht="20" customHeight="1" spans="1:8" x14ac:dyDescent="0.25">
      <c r="A6" s="17" t="s">
        <v>832</v>
      </c>
      <c r="B6" s="17" t="s">
        <v>2</v>
      </c>
      <c r="C6" s="17" t="s">
        <v>824</v>
      </c>
      <c r="D6" s="17" t="s">
        <v>825</v>
      </c>
      <c r="E6" s="17" t="s">
        <v>829</v>
      </c>
      <c r="F6" s="17" t="s">
        <v>830</v>
      </c>
      <c r="G6" s="17" t="s">
        <v>833</v>
      </c>
      <c r="H6" s="17" t="s">
        <v>55</v>
      </c>
    </row>
    <row r="7" ht="20" customHeight="1" spans="1:8" x14ac:dyDescent="0.25">
      <c r="A7" s="17" t="s">
        <v>834</v>
      </c>
      <c r="B7" s="17" t="s">
        <v>3</v>
      </c>
      <c r="C7" s="17" t="s">
        <v>824</v>
      </c>
      <c r="D7" s="17" t="s">
        <v>825</v>
      </c>
      <c r="E7" s="17" t="s">
        <v>829</v>
      </c>
      <c r="F7" s="17" t="s">
        <v>830</v>
      </c>
      <c r="G7" s="17" t="s">
        <v>835</v>
      </c>
      <c r="H7" s="17" t="s">
        <v>56</v>
      </c>
    </row>
    <row r="8" ht="20" customHeight="1" spans="1:8" x14ac:dyDescent="0.25">
      <c r="A8" s="17" t="s">
        <v>836</v>
      </c>
      <c r="B8" s="17" t="s">
        <v>4</v>
      </c>
      <c r="C8" s="17" t="s">
        <v>824</v>
      </c>
      <c r="D8" s="17" t="s">
        <v>825</v>
      </c>
      <c r="E8" s="17" t="s">
        <v>829</v>
      </c>
      <c r="F8" s="17" t="s">
        <v>830</v>
      </c>
      <c r="G8" s="17" t="s">
        <v>837</v>
      </c>
      <c r="H8" s="17" t="s">
        <v>57</v>
      </c>
    </row>
    <row r="9" ht="20" customHeight="1" spans="1:8" x14ac:dyDescent="0.25">
      <c r="A9" s="17" t="s">
        <v>838</v>
      </c>
      <c r="B9" s="17" t="s">
        <v>5</v>
      </c>
      <c r="C9" s="17" t="s">
        <v>824</v>
      </c>
      <c r="D9" s="17" t="s">
        <v>839</v>
      </c>
      <c r="E9" s="17" t="s">
        <v>840</v>
      </c>
      <c r="F9" s="17" t="s">
        <v>76</v>
      </c>
      <c r="G9" s="17" t="s">
        <v>841</v>
      </c>
      <c r="H9" s="17" t="s">
        <v>842</v>
      </c>
    </row>
    <row r="10" ht="20" customHeight="1" spans="1:8" x14ac:dyDescent="0.25">
      <c r="A10" s="17" t="s">
        <v>843</v>
      </c>
      <c r="B10" s="17" t="s">
        <v>6</v>
      </c>
      <c r="C10" s="17" t="s">
        <v>824</v>
      </c>
      <c r="D10" s="17" t="s">
        <v>839</v>
      </c>
      <c r="E10" s="17" t="s">
        <v>840</v>
      </c>
      <c r="F10" s="17" t="s">
        <v>76</v>
      </c>
      <c r="G10" s="17" t="s">
        <v>844</v>
      </c>
      <c r="H10" s="17" t="s">
        <v>842</v>
      </c>
    </row>
    <row r="11" ht="20" customHeight="1" spans="1:8" x14ac:dyDescent="0.25">
      <c r="A11" s="17" t="s">
        <v>845</v>
      </c>
      <c r="B11" s="17" t="s">
        <v>7</v>
      </c>
      <c r="C11" s="17" t="s">
        <v>824</v>
      </c>
      <c r="D11" s="17" t="s">
        <v>846</v>
      </c>
      <c r="E11" s="17" t="s">
        <v>847</v>
      </c>
      <c r="F11" s="17" t="s">
        <v>76</v>
      </c>
      <c r="G11" s="17" t="s">
        <v>848</v>
      </c>
      <c r="H11" s="17" t="s">
        <v>58</v>
      </c>
    </row>
    <row r="12" ht="20" customHeight="1" spans="1:8" x14ac:dyDescent="0.25">
      <c r="A12" s="17" t="s">
        <v>849</v>
      </c>
      <c r="B12" s="17" t="s">
        <v>8</v>
      </c>
      <c r="C12" s="17" t="s">
        <v>824</v>
      </c>
      <c r="D12" s="17" t="s">
        <v>846</v>
      </c>
      <c r="E12" s="17" t="s">
        <v>847</v>
      </c>
      <c r="F12" s="17" t="s">
        <v>830</v>
      </c>
      <c r="G12" s="17" t="s">
        <v>850</v>
      </c>
      <c r="H12" s="17" t="s">
        <v>97</v>
      </c>
    </row>
    <row r="13" ht="20" customHeight="1" spans="1:8" x14ac:dyDescent="0.25">
      <c r="A13" s="17" t="s">
        <v>851</v>
      </c>
      <c r="B13" s="17" t="s">
        <v>9</v>
      </c>
      <c r="C13" s="17" t="s">
        <v>824</v>
      </c>
      <c r="D13" s="17" t="s">
        <v>846</v>
      </c>
      <c r="E13" s="17" t="s">
        <v>847</v>
      </c>
      <c r="F13" s="17" t="s">
        <v>830</v>
      </c>
      <c r="G13" s="17" t="s">
        <v>852</v>
      </c>
      <c r="H13" s="17" t="s">
        <v>60</v>
      </c>
    </row>
    <row r="14" ht="20" customHeight="1" spans="1:8" x14ac:dyDescent="0.25">
      <c r="A14" s="17" t="s">
        <v>853</v>
      </c>
      <c r="B14" s="17" t="s">
        <v>10</v>
      </c>
      <c r="C14" s="17" t="s">
        <v>824</v>
      </c>
      <c r="D14" s="17" t="s">
        <v>846</v>
      </c>
      <c r="E14" s="17" t="s">
        <v>847</v>
      </c>
      <c r="F14" s="17" t="s">
        <v>830</v>
      </c>
      <c r="G14" s="17" t="s">
        <v>854</v>
      </c>
      <c r="H14" s="17" t="s">
        <v>161</v>
      </c>
    </row>
    <row r="15" ht="20" customHeight="1" spans="1:8" x14ac:dyDescent="0.25">
      <c r="A15" s="17" t="s">
        <v>855</v>
      </c>
      <c r="B15" s="17" t="s">
        <v>11</v>
      </c>
      <c r="C15" s="17" t="s">
        <v>824</v>
      </c>
      <c r="D15" s="17" t="s">
        <v>839</v>
      </c>
      <c r="E15" s="17" t="s">
        <v>856</v>
      </c>
      <c r="F15" s="17" t="s">
        <v>76</v>
      </c>
      <c r="G15" s="17" t="s">
        <v>857</v>
      </c>
      <c r="H15" s="17" t="s">
        <v>858</v>
      </c>
    </row>
    <row r="16" ht="20" customHeight="1" spans="1:8" x14ac:dyDescent="0.25">
      <c r="A16" s="17" t="s">
        <v>859</v>
      </c>
      <c r="B16" s="17" t="s">
        <v>12</v>
      </c>
      <c r="C16" s="17" t="s">
        <v>860</v>
      </c>
      <c r="D16" s="17" t="s">
        <v>861</v>
      </c>
      <c r="E16" s="17" t="s">
        <v>862</v>
      </c>
      <c r="F16" s="17" t="s">
        <v>76</v>
      </c>
      <c r="G16" s="17" t="s">
        <v>863</v>
      </c>
      <c r="H16" s="17" t="s">
        <v>864</v>
      </c>
    </row>
    <row r="17" ht="20" customHeight="1" spans="1:8" x14ac:dyDescent="0.25">
      <c r="A17" s="17" t="s">
        <v>865</v>
      </c>
      <c r="B17" s="17" t="s">
        <v>13</v>
      </c>
      <c r="C17" s="17" t="s">
        <v>860</v>
      </c>
      <c r="D17" s="17" t="s">
        <v>861</v>
      </c>
      <c r="E17" s="17" t="s">
        <v>862</v>
      </c>
      <c r="F17" s="17" t="s">
        <v>866</v>
      </c>
      <c r="G17" s="17" t="s">
        <v>867</v>
      </c>
      <c r="H17" s="17" t="s">
        <v>868</v>
      </c>
    </row>
    <row r="18" ht="20" customHeight="1" spans="1:8" x14ac:dyDescent="0.25">
      <c r="A18" s="17" t="s">
        <v>869</v>
      </c>
      <c r="B18" s="17" t="s">
        <v>14</v>
      </c>
      <c r="C18" s="17" t="s">
        <v>860</v>
      </c>
      <c r="D18" s="17" t="s">
        <v>846</v>
      </c>
      <c r="E18" s="17" t="s">
        <v>870</v>
      </c>
      <c r="F18" s="17" t="s">
        <v>76</v>
      </c>
      <c r="G18" s="17" t="s">
        <v>871</v>
      </c>
      <c r="H18" s="17" t="s">
        <v>63</v>
      </c>
    </row>
    <row r="19" ht="20" customHeight="1" spans="1:8" x14ac:dyDescent="0.25">
      <c r="A19" s="17" t="s">
        <v>872</v>
      </c>
      <c r="B19" s="17" t="s">
        <v>15</v>
      </c>
      <c r="C19" s="17" t="s">
        <v>860</v>
      </c>
      <c r="D19" s="17" t="s">
        <v>861</v>
      </c>
      <c r="E19" s="17" t="s">
        <v>862</v>
      </c>
      <c r="F19" s="17" t="s">
        <v>76</v>
      </c>
      <c r="G19" s="17" t="s">
        <v>873</v>
      </c>
      <c r="H19" s="17" t="s">
        <v>874</v>
      </c>
    </row>
    <row r="20" ht="20" customHeight="1" spans="1:8" x14ac:dyDescent="0.25">
      <c r="A20" s="17" t="s">
        <v>875</v>
      </c>
      <c r="B20" s="17" t="s">
        <v>16</v>
      </c>
      <c r="C20" s="17" t="s">
        <v>860</v>
      </c>
      <c r="D20" s="17" t="s">
        <v>861</v>
      </c>
      <c r="E20" s="17" t="s">
        <v>862</v>
      </c>
      <c r="F20" s="17" t="s">
        <v>76</v>
      </c>
      <c r="G20" s="17" t="s">
        <v>876</v>
      </c>
      <c r="H20" s="17" t="s">
        <v>877</v>
      </c>
    </row>
    <row r="21" ht="20" customHeight="1" spans="1:8" x14ac:dyDescent="0.25">
      <c r="A21" s="17" t="s">
        <v>878</v>
      </c>
      <c r="B21" s="17" t="s">
        <v>17</v>
      </c>
      <c r="C21" s="17" t="s">
        <v>860</v>
      </c>
      <c r="D21" s="17" t="s">
        <v>879</v>
      </c>
      <c r="E21" s="17" t="s">
        <v>862</v>
      </c>
      <c r="F21" s="17" t="s">
        <v>880</v>
      </c>
      <c r="G21" s="17" t="s">
        <v>881</v>
      </c>
      <c r="H21" s="17" t="s">
        <v>882</v>
      </c>
    </row>
    <row r="22" ht="20" customHeight="1" spans="1:8" x14ac:dyDescent="0.25">
      <c r="A22" s="17" t="s">
        <v>883</v>
      </c>
      <c r="B22" s="17" t="s">
        <v>18</v>
      </c>
      <c r="C22" s="17" t="s">
        <v>860</v>
      </c>
      <c r="D22" s="17" t="s">
        <v>884</v>
      </c>
      <c r="E22" s="17" t="s">
        <v>885</v>
      </c>
      <c r="F22" s="17" t="s">
        <v>886</v>
      </c>
      <c r="G22" s="17" t="s">
        <v>887</v>
      </c>
      <c r="H22" s="17" t="s">
        <v>888</v>
      </c>
    </row>
    <row r="23" ht="20" customHeight="1" spans="1:8" x14ac:dyDescent="0.25">
      <c r="A23" s="17" t="s">
        <v>889</v>
      </c>
      <c r="B23" s="17" t="s">
        <v>19</v>
      </c>
      <c r="C23" s="17" t="s">
        <v>860</v>
      </c>
      <c r="D23" s="17" t="s">
        <v>839</v>
      </c>
      <c r="E23" s="17" t="s">
        <v>890</v>
      </c>
      <c r="F23" s="17" t="s">
        <v>886</v>
      </c>
      <c r="G23" s="17" t="s">
        <v>891</v>
      </c>
      <c r="H23" s="17" t="s">
        <v>892</v>
      </c>
    </row>
    <row r="24" ht="20" customHeight="1" spans="1:8" x14ac:dyDescent="0.25">
      <c r="A24" s="17" t="s">
        <v>893</v>
      </c>
      <c r="B24" s="17" t="s">
        <v>20</v>
      </c>
      <c r="C24" s="17" t="s">
        <v>860</v>
      </c>
      <c r="D24" s="17" t="s">
        <v>879</v>
      </c>
      <c r="E24" s="17" t="s">
        <v>894</v>
      </c>
      <c r="F24" s="17" t="s">
        <v>880</v>
      </c>
      <c r="G24" s="17" t="s">
        <v>895</v>
      </c>
      <c r="H24" s="17" t="s">
        <v>896</v>
      </c>
    </row>
    <row r="25" ht="20" customHeight="1" spans="1:8" x14ac:dyDescent="0.25">
      <c r="A25" s="17" t="s">
        <v>897</v>
      </c>
      <c r="B25" s="17" t="s">
        <v>21</v>
      </c>
      <c r="C25" s="17" t="s">
        <v>860</v>
      </c>
      <c r="D25" s="17" t="s">
        <v>846</v>
      </c>
      <c r="E25" s="17" t="s">
        <v>870</v>
      </c>
      <c r="F25" s="17" t="s">
        <v>76</v>
      </c>
      <c r="G25" s="17" t="s">
        <v>898</v>
      </c>
      <c r="H25" s="17" t="s">
        <v>63</v>
      </c>
    </row>
    <row r="26" ht="20" customHeight="1" spans="1:8" x14ac:dyDescent="0.25">
      <c r="A26" s="17" t="s">
        <v>899</v>
      </c>
      <c r="B26" s="17" t="s">
        <v>22</v>
      </c>
      <c r="C26" s="17" t="s">
        <v>900</v>
      </c>
      <c r="D26" s="17" t="s">
        <v>901</v>
      </c>
      <c r="E26" s="17" t="s">
        <v>902</v>
      </c>
      <c r="F26" s="17" t="s">
        <v>830</v>
      </c>
      <c r="G26" s="17" t="s">
        <v>903</v>
      </c>
      <c r="H26" s="17" t="s">
        <v>904</v>
      </c>
    </row>
    <row r="27" ht="20" customHeight="1" spans="1:8" x14ac:dyDescent="0.25">
      <c r="A27" s="17" t="s">
        <v>905</v>
      </c>
      <c r="B27" s="17" t="s">
        <v>23</v>
      </c>
      <c r="C27" s="17" t="s">
        <v>900</v>
      </c>
      <c r="D27" s="17" t="s">
        <v>839</v>
      </c>
      <c r="E27" s="17" t="s">
        <v>906</v>
      </c>
      <c r="F27" s="17" t="s">
        <v>830</v>
      </c>
      <c r="G27" s="17" t="s">
        <v>907</v>
      </c>
      <c r="H27" s="17" t="s">
        <v>908</v>
      </c>
    </row>
    <row r="28" ht="20" customHeight="1" spans="1:8" x14ac:dyDescent="0.25">
      <c r="A28" s="17" t="s">
        <v>909</v>
      </c>
      <c r="B28" s="17" t="s">
        <v>24</v>
      </c>
      <c r="C28" s="17" t="s">
        <v>900</v>
      </c>
      <c r="D28" s="17" t="s">
        <v>910</v>
      </c>
      <c r="E28" s="17" t="s">
        <v>911</v>
      </c>
      <c r="F28" s="17" t="s">
        <v>830</v>
      </c>
      <c r="G28" s="17" t="s">
        <v>912</v>
      </c>
      <c r="H28" s="17" t="s">
        <v>913</v>
      </c>
    </row>
    <row r="29" ht="20" customHeight="1" spans="1:8" x14ac:dyDescent="0.25">
      <c r="A29" s="17" t="s">
        <v>914</v>
      </c>
      <c r="B29" s="17" t="s">
        <v>25</v>
      </c>
      <c r="C29" s="17" t="s">
        <v>900</v>
      </c>
      <c r="D29" s="17" t="s">
        <v>901</v>
      </c>
      <c r="E29" s="17" t="s">
        <v>915</v>
      </c>
      <c r="F29" s="17" t="s">
        <v>830</v>
      </c>
      <c r="G29" s="17" t="s">
        <v>916</v>
      </c>
      <c r="H29" s="17" t="s">
        <v>917</v>
      </c>
    </row>
    <row r="30" ht="20" customHeight="1" spans="1:8" x14ac:dyDescent="0.25">
      <c r="A30" s="17" t="s">
        <v>918</v>
      </c>
      <c r="B30" s="17" t="s">
        <v>26</v>
      </c>
      <c r="C30" s="17" t="s">
        <v>900</v>
      </c>
      <c r="D30" s="17" t="s">
        <v>910</v>
      </c>
      <c r="E30" s="17" t="s">
        <v>919</v>
      </c>
      <c r="F30" s="17" t="s">
        <v>830</v>
      </c>
      <c r="G30" s="17" t="s">
        <v>920</v>
      </c>
      <c r="H30" s="17" t="s">
        <v>921</v>
      </c>
    </row>
    <row r="31" ht="20" customHeight="1" spans="1:8" x14ac:dyDescent="0.25">
      <c r="A31" s="17" t="s">
        <v>922</v>
      </c>
      <c r="B31" s="17" t="s">
        <v>27</v>
      </c>
      <c r="C31" s="17" t="s">
        <v>900</v>
      </c>
      <c r="D31" s="17" t="s">
        <v>839</v>
      </c>
      <c r="E31" s="17" t="s">
        <v>923</v>
      </c>
      <c r="F31" s="17" t="s">
        <v>830</v>
      </c>
      <c r="G31" s="17" t="s">
        <v>924</v>
      </c>
      <c r="H31" s="17" t="s">
        <v>925</v>
      </c>
    </row>
    <row r="32" ht="20" customHeight="1" spans="1:8" x14ac:dyDescent="0.25">
      <c r="A32" s="17" t="s">
        <v>926</v>
      </c>
      <c r="B32" s="17" t="s">
        <v>28</v>
      </c>
      <c r="C32" s="17" t="s">
        <v>900</v>
      </c>
      <c r="D32" s="17" t="s">
        <v>839</v>
      </c>
      <c r="E32" s="17" t="s">
        <v>856</v>
      </c>
      <c r="F32" s="17" t="s">
        <v>830</v>
      </c>
      <c r="G32" s="17" t="s">
        <v>927</v>
      </c>
      <c r="H32" s="17" t="s">
        <v>925</v>
      </c>
    </row>
    <row r="33" ht="20" customHeight="1" spans="1:8" x14ac:dyDescent="0.25">
      <c r="A33" s="17" t="s">
        <v>928</v>
      </c>
      <c r="B33" s="17" t="s">
        <v>29</v>
      </c>
      <c r="C33" s="17" t="s">
        <v>900</v>
      </c>
      <c r="D33" s="17" t="s">
        <v>839</v>
      </c>
      <c r="E33" s="17" t="s">
        <v>929</v>
      </c>
      <c r="F33" s="17" t="s">
        <v>830</v>
      </c>
      <c r="G33" s="17" t="s">
        <v>930</v>
      </c>
      <c r="H33" s="17" t="s">
        <v>931</v>
      </c>
    </row>
    <row r="34" ht="20" customHeight="1" spans="1:8" x14ac:dyDescent="0.25">
      <c r="A34" s="17" t="s">
        <v>932</v>
      </c>
      <c r="B34" s="17" t="s">
        <v>30</v>
      </c>
      <c r="C34" s="17" t="s">
        <v>900</v>
      </c>
      <c r="D34" s="17" t="s">
        <v>933</v>
      </c>
      <c r="E34" s="17" t="s">
        <v>934</v>
      </c>
      <c r="F34" s="17" t="s">
        <v>830</v>
      </c>
      <c r="G34" s="17" t="s">
        <v>935</v>
      </c>
      <c r="H34" s="17" t="s">
        <v>138</v>
      </c>
    </row>
    <row r="35" ht="20" customHeight="1" spans="1:8" x14ac:dyDescent="0.25">
      <c r="A35" s="17" t="s">
        <v>936</v>
      </c>
      <c r="B35" s="17" t="s">
        <v>31</v>
      </c>
      <c r="C35" s="17" t="s">
        <v>900</v>
      </c>
      <c r="D35" s="17" t="s">
        <v>839</v>
      </c>
      <c r="E35" s="17" t="s">
        <v>856</v>
      </c>
      <c r="F35" s="17" t="s">
        <v>830</v>
      </c>
      <c r="G35" s="17" t="s">
        <v>937</v>
      </c>
      <c r="H35" s="17" t="s">
        <v>938</v>
      </c>
    </row>
    <row r="36" ht="20" customHeight="1" spans="1:8" x14ac:dyDescent="0.25">
      <c r="A36" s="17" t="s">
        <v>939</v>
      </c>
      <c r="B36" s="17" t="s">
        <v>32</v>
      </c>
      <c r="C36" s="17" t="s">
        <v>900</v>
      </c>
      <c r="D36" s="17" t="s">
        <v>846</v>
      </c>
      <c r="E36" s="17" t="s">
        <v>870</v>
      </c>
      <c r="F36" s="17" t="s">
        <v>830</v>
      </c>
      <c r="G36" s="17" t="s">
        <v>940</v>
      </c>
      <c r="H36" s="17" t="s">
        <v>63</v>
      </c>
    </row>
    <row r="37" ht="20" customHeight="1" spans="1:8" x14ac:dyDescent="0.25">
      <c r="A37" s="17" t="s">
        <v>941</v>
      </c>
      <c r="B37" s="17" t="s">
        <v>33</v>
      </c>
      <c r="C37" s="17" t="s">
        <v>900</v>
      </c>
      <c r="D37" s="17" t="s">
        <v>846</v>
      </c>
      <c r="E37" s="17" t="s">
        <v>870</v>
      </c>
      <c r="F37" s="17" t="s">
        <v>830</v>
      </c>
      <c r="G37" s="17" t="s">
        <v>942</v>
      </c>
      <c r="H37" s="17" t="s">
        <v>63</v>
      </c>
    </row>
    <row r="38" ht="20" customHeight="1" spans="1:8" x14ac:dyDescent="0.25">
      <c r="A38" s="17" t="s">
        <v>943</v>
      </c>
      <c r="B38" s="17" t="s">
        <v>34</v>
      </c>
      <c r="C38" s="17" t="s">
        <v>900</v>
      </c>
      <c r="D38" s="17" t="s">
        <v>846</v>
      </c>
      <c r="E38" s="17" t="s">
        <v>870</v>
      </c>
      <c r="F38" s="17" t="s">
        <v>830</v>
      </c>
      <c r="G38" s="17" t="s">
        <v>944</v>
      </c>
      <c r="H38" s="17" t="s">
        <v>63</v>
      </c>
    </row>
    <row r="39" ht="20" customHeight="1" spans="1:8" x14ac:dyDescent="0.25">
      <c r="A39" s="17" t="s">
        <v>945</v>
      </c>
      <c r="B39" s="17" t="s">
        <v>35</v>
      </c>
      <c r="C39" s="17" t="s">
        <v>946</v>
      </c>
      <c r="D39" s="17" t="s">
        <v>825</v>
      </c>
      <c r="E39" s="17" t="s">
        <v>829</v>
      </c>
      <c r="F39" s="17" t="s">
        <v>76</v>
      </c>
      <c r="G39" s="17" t="s">
        <v>947</v>
      </c>
      <c r="H39" s="17" t="s">
        <v>64</v>
      </c>
    </row>
    <row r="40" ht="20" customHeight="1" spans="1:8" x14ac:dyDescent="0.25">
      <c r="A40" s="17" t="s">
        <v>948</v>
      </c>
      <c r="B40" s="17" t="s">
        <v>36</v>
      </c>
      <c r="C40" s="17" t="s">
        <v>946</v>
      </c>
      <c r="D40" s="17" t="s">
        <v>846</v>
      </c>
      <c r="E40" s="17" t="s">
        <v>847</v>
      </c>
      <c r="F40" s="17" t="s">
        <v>76</v>
      </c>
      <c r="G40" s="17" t="s">
        <v>949</v>
      </c>
      <c r="H40" s="17" t="s">
        <v>101</v>
      </c>
    </row>
    <row r="41" ht="20" customHeight="1" spans="1:8" x14ac:dyDescent="0.25">
      <c r="A41" s="17" t="s">
        <v>950</v>
      </c>
      <c r="B41" s="17" t="s">
        <v>37</v>
      </c>
      <c r="C41" s="17" t="s">
        <v>946</v>
      </c>
      <c r="D41" s="17" t="s">
        <v>839</v>
      </c>
      <c r="E41" s="17" t="s">
        <v>951</v>
      </c>
      <c r="F41" s="17" t="s">
        <v>76</v>
      </c>
      <c r="G41" s="17" t="s">
        <v>952</v>
      </c>
      <c r="H41" s="17" t="s">
        <v>953</v>
      </c>
    </row>
    <row r="42" ht="20" customHeight="1" spans="1:8" x14ac:dyDescent="0.25">
      <c r="A42" s="17" t="s">
        <v>954</v>
      </c>
      <c r="B42" s="17" t="s">
        <v>38</v>
      </c>
      <c r="C42" s="17" t="s">
        <v>946</v>
      </c>
      <c r="D42" s="17" t="s">
        <v>955</v>
      </c>
      <c r="E42" s="17" t="s">
        <v>956</v>
      </c>
      <c r="F42" s="17" t="s">
        <v>76</v>
      </c>
      <c r="G42" s="17" t="s">
        <v>957</v>
      </c>
      <c r="H42" s="17" t="s">
        <v>958</v>
      </c>
    </row>
    <row r="43" ht="20" customHeight="1" spans="1:8" x14ac:dyDescent="0.25">
      <c r="A43" s="17" t="s">
        <v>959</v>
      </c>
      <c r="B43" s="17" t="s">
        <v>39</v>
      </c>
      <c r="C43" s="17" t="s">
        <v>946</v>
      </c>
      <c r="D43" s="17" t="s">
        <v>825</v>
      </c>
      <c r="E43" s="17" t="s">
        <v>960</v>
      </c>
      <c r="F43" s="17" t="s">
        <v>76</v>
      </c>
      <c r="G43" s="17" t="s">
        <v>961</v>
      </c>
      <c r="H43" s="17" t="s">
        <v>67</v>
      </c>
    </row>
    <row r="44" ht="20" customHeight="1" spans="1:8" x14ac:dyDescent="0.25">
      <c r="A44" s="17" t="s">
        <v>962</v>
      </c>
      <c r="B44" s="17" t="s">
        <v>40</v>
      </c>
      <c r="C44" s="17" t="s">
        <v>946</v>
      </c>
      <c r="D44" s="17" t="s">
        <v>846</v>
      </c>
      <c r="E44" s="17" t="s">
        <v>847</v>
      </c>
      <c r="F44" s="17" t="s">
        <v>76</v>
      </c>
      <c r="G44" s="17" t="s">
        <v>963</v>
      </c>
      <c r="H44" s="17" t="s">
        <v>68</v>
      </c>
    </row>
    <row r="45" ht="20" customHeight="1" spans="1:8" x14ac:dyDescent="0.25">
      <c r="A45" s="17" t="s">
        <v>964</v>
      </c>
      <c r="B45" s="17" t="s">
        <v>41</v>
      </c>
      <c r="C45" s="17" t="s">
        <v>946</v>
      </c>
      <c r="D45" s="17" t="s">
        <v>846</v>
      </c>
      <c r="E45" s="17" t="s">
        <v>847</v>
      </c>
      <c r="F45" s="17" t="s">
        <v>76</v>
      </c>
      <c r="G45" s="17" t="s">
        <v>965</v>
      </c>
      <c r="H45" s="17" t="s">
        <v>69</v>
      </c>
    </row>
    <row r="46" ht="20" customHeight="1" spans="1:8" x14ac:dyDescent="0.25">
      <c r="A46" s="17" t="s">
        <v>966</v>
      </c>
      <c r="B46" s="17" t="s">
        <v>42</v>
      </c>
      <c r="C46" s="17" t="s">
        <v>946</v>
      </c>
      <c r="D46" s="17" t="s">
        <v>955</v>
      </c>
      <c r="E46" s="17" t="s">
        <v>956</v>
      </c>
      <c r="F46" s="17" t="s">
        <v>76</v>
      </c>
      <c r="G46" s="17" t="s">
        <v>967</v>
      </c>
      <c r="H46" s="17" t="s">
        <v>968</v>
      </c>
    </row>
    <row r="47" ht="20" customHeight="1" spans="1:8" x14ac:dyDescent="0.25">
      <c r="A47" s="17" t="s">
        <v>969</v>
      </c>
      <c r="B47" s="17" t="s">
        <v>43</v>
      </c>
      <c r="C47" s="17" t="s">
        <v>946</v>
      </c>
      <c r="D47" s="17" t="s">
        <v>846</v>
      </c>
      <c r="E47" s="17" t="s">
        <v>847</v>
      </c>
      <c r="F47" s="17" t="s">
        <v>76</v>
      </c>
      <c r="G47" s="17" t="s">
        <v>970</v>
      </c>
      <c r="H47" s="17" t="s">
        <v>89</v>
      </c>
    </row>
    <row r="48" ht="20" customHeight="1" spans="1:8" x14ac:dyDescent="0.25">
      <c r="A48" s="17" t="s">
        <v>971</v>
      </c>
      <c r="B48" s="17" t="s">
        <v>44</v>
      </c>
      <c r="C48" s="17" t="s">
        <v>946</v>
      </c>
      <c r="D48" s="17" t="s">
        <v>846</v>
      </c>
      <c r="E48" s="17" t="s">
        <v>870</v>
      </c>
      <c r="F48" s="17" t="s">
        <v>76</v>
      </c>
      <c r="G48" s="17" t="s">
        <v>972</v>
      </c>
      <c r="H48" s="17" t="s">
        <v>63</v>
      </c>
    </row>
    <row r="49" ht="20" customHeight="1" spans="1:8" x14ac:dyDescent="0.25">
      <c r="A49" s="17" t="s">
        <v>973</v>
      </c>
      <c r="B49" s="17" t="s">
        <v>45</v>
      </c>
      <c r="C49" s="17" t="s">
        <v>946</v>
      </c>
      <c r="D49" s="17" t="s">
        <v>846</v>
      </c>
      <c r="E49" s="17" t="s">
        <v>870</v>
      </c>
      <c r="F49" s="17" t="s">
        <v>76</v>
      </c>
      <c r="G49" s="17" t="s">
        <v>974</v>
      </c>
      <c r="H49" s="17" t="s">
        <v>63</v>
      </c>
    </row>
    <row r="50" ht="20" customHeight="1" spans="1:8" x14ac:dyDescent="0.25">
      <c r="A50" s="17" t="s">
        <v>975</v>
      </c>
      <c r="B50" s="17" t="s">
        <v>46</v>
      </c>
      <c r="C50" s="17" t="s">
        <v>946</v>
      </c>
      <c r="D50" s="17" t="s">
        <v>846</v>
      </c>
      <c r="E50" s="17" t="s">
        <v>976</v>
      </c>
      <c r="F50" s="17" t="s">
        <v>76</v>
      </c>
      <c r="G50" s="17" t="s">
        <v>977</v>
      </c>
      <c r="H50" s="17" t="s">
        <v>62</v>
      </c>
    </row>
    <row r="51" ht="20" customHeight="1" spans="1:8" x14ac:dyDescent="0.25">
      <c r="A51" s="17" t="s">
        <v>978</v>
      </c>
      <c r="B51" s="17" t="s">
        <v>47</v>
      </c>
      <c r="C51" s="17" t="s">
        <v>979</v>
      </c>
      <c r="D51" s="17" t="s">
        <v>825</v>
      </c>
      <c r="E51" s="17" t="s">
        <v>980</v>
      </c>
      <c r="F51" s="17" t="s">
        <v>830</v>
      </c>
      <c r="G51" s="17" t="s">
        <v>981</v>
      </c>
      <c r="H51" s="17" t="s">
        <v>982</v>
      </c>
    </row>
    <row r="52" ht="20" customHeight="1" spans="1:8" x14ac:dyDescent="0.25">
      <c r="A52" s="17" t="s">
        <v>983</v>
      </c>
      <c r="B52" s="17" t="s">
        <v>48</v>
      </c>
      <c r="C52" s="17" t="s">
        <v>979</v>
      </c>
      <c r="D52" s="17" t="s">
        <v>825</v>
      </c>
      <c r="E52" s="17" t="s">
        <v>984</v>
      </c>
      <c r="F52" s="17" t="s">
        <v>76</v>
      </c>
      <c r="G52" s="17" t="s">
        <v>985</v>
      </c>
      <c r="H52" s="17" t="s">
        <v>986</v>
      </c>
    </row>
    <row r="53" ht="20" customHeight="1" spans="1:8" x14ac:dyDescent="0.25">
      <c r="A53" s="17" t="s">
        <v>987</v>
      </c>
      <c r="B53" s="17" t="s">
        <v>49</v>
      </c>
      <c r="C53" s="17" t="s">
        <v>979</v>
      </c>
      <c r="D53" s="17" t="s">
        <v>846</v>
      </c>
      <c r="E53" s="17" t="s">
        <v>988</v>
      </c>
      <c r="F53" s="17" t="s">
        <v>76</v>
      </c>
      <c r="G53" s="17" t="s">
        <v>989</v>
      </c>
      <c r="H53" s="17" t="s">
        <v>92</v>
      </c>
    </row>
    <row r="54" ht="20" customHeight="1" spans="1:8" x14ac:dyDescent="0.25">
      <c r="A54" s="17" t="s">
        <v>990</v>
      </c>
      <c r="B54" s="17" t="s">
        <v>50</v>
      </c>
      <c r="C54" s="17" t="s">
        <v>979</v>
      </c>
      <c r="D54" s="17" t="s">
        <v>861</v>
      </c>
      <c r="E54" s="17" t="s">
        <v>991</v>
      </c>
      <c r="F54" s="17" t="s">
        <v>992</v>
      </c>
      <c r="G54" s="17" t="s">
        <v>993</v>
      </c>
      <c r="H54" s="17" t="s">
        <v>994</v>
      </c>
    </row>
    <row r="55" ht="20" customHeight="1" spans="1:8" x14ac:dyDescent="0.25">
      <c r="A55" s="17" t="s">
        <v>995</v>
      </c>
      <c r="B55" s="17" t="s">
        <v>51</v>
      </c>
      <c r="C55" s="17" t="s">
        <v>979</v>
      </c>
      <c r="D55" s="17" t="s">
        <v>846</v>
      </c>
      <c r="E55" s="17" t="s">
        <v>996</v>
      </c>
      <c r="F55" s="17" t="s">
        <v>997</v>
      </c>
      <c r="G55" s="17" t="s">
        <v>998</v>
      </c>
      <c r="H55" s="17" t="s">
        <v>76</v>
      </c>
    </row>
    <row r="56" ht="20" customHeight="1" spans="1:8" x14ac:dyDescent="0.25">
      <c r="A56" s="17" t="s">
        <v>999</v>
      </c>
      <c r="B56" s="17" t="s">
        <v>52</v>
      </c>
      <c r="C56" s="17" t="s">
        <v>979</v>
      </c>
      <c r="D56" s="17" t="s">
        <v>933</v>
      </c>
      <c r="E56" s="17" t="s">
        <v>1000</v>
      </c>
      <c r="F56" s="17" t="s">
        <v>997</v>
      </c>
      <c r="G56" s="17" t="s">
        <v>1001</v>
      </c>
      <c r="H56" s="17" t="s">
        <v>1002</v>
      </c>
    </row>
  </sheetData>
  <autoFilter ref="A3:H5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42" customWidth="1"/>
    <col min="4" max="4" width="22" customWidth="1"/>
  </cols>
  <sheetData>
    <row r="1" ht="28" customHeight="1" spans="1:4" x14ac:dyDescent="0.25">
      <c r="A1" s="25" t="s">
        <v>1003</v>
      </c>
      <c r="B1" s="25"/>
      <c r="C1" s="25"/>
      <c r="D1" s="25"/>
    </row>
    <row r="2" ht="22" customHeight="1" spans="1:4" x14ac:dyDescent="0.25">
      <c r="A2" s="24" t="s">
        <v>1004</v>
      </c>
      <c r="B2" s="24"/>
      <c r="C2" s="24"/>
      <c r="D2" s="24"/>
    </row>
    <row r="4" ht="24" customHeight="1" spans="1:4" x14ac:dyDescent="0.25">
      <c r="A4" s="26" t="s">
        <v>1005</v>
      </c>
      <c r="B4" s="26" t="s">
        <v>1006</v>
      </c>
      <c r="C4" s="26" t="s">
        <v>1007</v>
      </c>
      <c r="D4" s="26" t="s">
        <v>1008</v>
      </c>
    </row>
    <row r="5" spans="1:4" x14ac:dyDescent="0.25">
      <c r="A5" t="s">
        <v>1009</v>
      </c>
      <c r="B5" s="27">
        <v>1250000</v>
      </c>
      <c r="C5" t="s">
        <v>1010</v>
      </c>
      <c r="D5" t="s">
        <v>1011</v>
      </c>
    </row>
    <row r="6" spans="1:4" x14ac:dyDescent="0.25">
      <c r="A6" t="s">
        <v>16</v>
      </c>
      <c r="B6" s="27">
        <v>250000</v>
      </c>
      <c r="C6" t="s">
        <v>1010</v>
      </c>
      <c r="D6" t="s">
        <v>1012</v>
      </c>
    </row>
    <row r="7" spans="1:4" x14ac:dyDescent="0.25">
      <c r="A7" t="s">
        <v>1013</v>
      </c>
      <c r="B7" s="28">
        <f>MAX(0,B5-B6)</f>
        <v>1000000</v>
      </c>
      <c r="C7" t="s">
        <v>1014</v>
      </c>
      <c r="D7" t="s">
        <v>1015</v>
      </c>
    </row>
    <row r="8" spans="1:4" x14ac:dyDescent="0.25">
      <c r="A8" t="s">
        <v>1016</v>
      </c>
      <c r="B8" s="29">
        <v>9.25</v>
      </c>
      <c r="C8" t="s">
        <v>1017</v>
      </c>
      <c r="D8" t="s">
        <v>1018</v>
      </c>
    </row>
    <row r="9" spans="1:4" x14ac:dyDescent="0.25">
      <c r="A9" t="s">
        <v>19</v>
      </c>
      <c r="B9" s="30">
        <v>60</v>
      </c>
      <c r="C9" t="s">
        <v>1019</v>
      </c>
      <c r="D9" t="s">
        <v>1020</v>
      </c>
    </row>
    <row r="10" spans="1:4" x14ac:dyDescent="0.25">
      <c r="A10" t="s">
        <v>20</v>
      </c>
      <c r="B10" s="31">
        <f>IF(OR(B7&lt;=0,B8&lt;0,B9&lt;=0),"",IF(B8=0,B7/B9,-PMT(B8/1200,B9,B7)))</f>
        <v>20880</v>
      </c>
      <c r="C10" t="s">
        <v>1021</v>
      </c>
      <c r="D10" t="s">
        <v>1022</v>
      </c>
    </row>
    <row r="11" spans="1:4" x14ac:dyDescent="0.25">
      <c r="A11" t="s">
        <v>1023</v>
      </c>
      <c r="B11" s="32">
        <f>IF(B10="","",B10*B9)</f>
        <v>1252792</v>
      </c>
      <c r="C11" t="s">
        <v>1024</v>
      </c>
      <c r="D11" t="s">
        <v>1025</v>
      </c>
    </row>
    <row r="12" spans="1:4" x14ac:dyDescent="0.25">
      <c r="A12" t="s">
        <v>1026</v>
      </c>
      <c r="B12" s="32">
        <f>IF(B11="","",MAX(0,B11-B7))</f>
        <v>252792</v>
      </c>
      <c r="C12" t="s">
        <v>1027</v>
      </c>
      <c r="D12" t="s">
        <v>1028</v>
      </c>
    </row>
    <row r="13" spans="1:4" x14ac:dyDescent="0.25">
      <c r="A13" t="s">
        <v>1029</v>
      </c>
      <c r="B13" s="33">
        <f>IF(B11="","",B6+B11)</f>
        <v>1502792</v>
      </c>
      <c r="C13" t="s">
        <v>1030</v>
      </c>
      <c r="D13" t="s">
        <v>1031</v>
      </c>
    </row>
    <row r="15" ht="24" customHeight="1" spans="1:4" x14ac:dyDescent="0.25">
      <c r="A15" s="26" t="s">
        <v>1032</v>
      </c>
      <c r="B15" s="26" t="s">
        <v>20</v>
      </c>
      <c r="C15" s="26" t="s">
        <v>1026</v>
      </c>
      <c r="D15" s="26" t="s">
        <v>1033</v>
      </c>
    </row>
    <row r="16" spans="1:4" x14ac:dyDescent="0.25">
      <c r="A16" s="34">
        <v>12</v>
      </c>
      <c r="B16" s="32">
        <f>IF(OR($B$7&lt;=0,$B$8&lt;0,A16&lt;=0),"",IF($B$8=0,$B$7/A16,-PMT($B$8/1200,A16,$B$7)))</f>
        <v>87567</v>
      </c>
      <c r="C16" s="32">
        <f>IF(B16="","",(B16*A16)-$B$7)</f>
        <v>50804</v>
      </c>
      <c r="D16" s="32">
        <f>IF(B16="","",B16*A16)</f>
        <v>1050804</v>
      </c>
    </row>
    <row r="17" spans="1:4" x14ac:dyDescent="0.25">
      <c r="A17" s="34">
        <v>24</v>
      </c>
      <c r="B17" s="32">
        <f>IF(OR($B$7&lt;=0,$B$8&lt;0,A17&lt;=0),"",IF($B$8=0,$B$7/A17,-PMT($B$8/1200,A17,$B$7)))</f>
        <v>45800</v>
      </c>
      <c r="C17" s="32">
        <f>IF(B17="","",(B17*A17)-$B$7)</f>
        <v>99200</v>
      </c>
      <c r="D17" s="32">
        <f>IF(B17="","",B17*A17)</f>
        <v>1099200</v>
      </c>
    </row>
    <row r="18" spans="1:4" x14ac:dyDescent="0.25">
      <c r="A18" s="34">
        <v>36</v>
      </c>
      <c r="B18" s="32">
        <f>IF(OR($B$7&lt;=0,$B$8&lt;0,A18&lt;=0),"",IF($B$8=0,$B$7/A18,-PMT($B$8/1200,A18,$B$7)))</f>
        <v>31916</v>
      </c>
      <c r="C18" s="32">
        <f>IF(B18="","",(B18*A18)-$B$7)</f>
        <v>148976</v>
      </c>
      <c r="D18" s="32">
        <f>IF(B18="","",B18*A18)</f>
        <v>1148976</v>
      </c>
    </row>
    <row r="19" spans="1:4" x14ac:dyDescent="0.25">
      <c r="A19" s="34">
        <v>48</v>
      </c>
      <c r="B19" s="32">
        <f>IF(OR($B$7&lt;=0,$B$8&lt;0,A19&lt;=0),"",IF($B$8=0,$B$7/A19,-PMT($B$8/1200,A19,$B$7)))</f>
        <v>25004</v>
      </c>
      <c r="C19" s="32">
        <f>IF(B19="","",(B19*A19)-$B$7)</f>
        <v>200192</v>
      </c>
      <c r="D19" s="32">
        <f>IF(B19="","",B19*A19)</f>
        <v>1200192</v>
      </c>
    </row>
    <row r="20" spans="1:4" x14ac:dyDescent="0.25">
      <c r="A20" s="34">
        <v>60</v>
      </c>
      <c r="B20" s="32">
        <f>IF(OR($B$7&lt;=0,$B$8&lt;0,A20&lt;=0),"",IF($B$8=0,$B$7/A20,-PMT($B$8/1200,A20,$B$7)))</f>
        <v>20880</v>
      </c>
      <c r="C20" s="32">
        <f>IF(B20="","",(B20*A20)-$B$7)</f>
        <v>252800</v>
      </c>
      <c r="D20" s="32">
        <f>IF(B20="","",B20*A20)</f>
        <v>1252800</v>
      </c>
    </row>
    <row r="21" spans="1:4" x14ac:dyDescent="0.25">
      <c r="A21" s="34">
        <v>72</v>
      </c>
      <c r="B21" s="32">
        <f>IF(OR($B$7&lt;=0,$B$8&lt;0,A21&lt;=0),"",IF($B$8=0,$B$7/A21,-PMT($B$8/1200,A21,$B$7)))</f>
        <v>18150</v>
      </c>
      <c r="C21" s="32">
        <f>IF(B21="","",(B21*A21)-$B$7)</f>
        <v>306800</v>
      </c>
      <c r="D21" s="32">
        <f>IF(B21="","",B21*A21)</f>
        <v>1306800</v>
      </c>
    </row>
    <row r="22" spans="1:4" x14ac:dyDescent="0.25">
      <c r="A22" s="34">
        <v>84</v>
      </c>
      <c r="B22" s="32">
        <f>IF(OR($B$7&lt;=0,$B$8&lt;0,A22&lt;=0),"",IF($B$8=0,$B$7/A22,-PMT($B$8/1200,A22,$B$7)))</f>
        <v>16216</v>
      </c>
      <c r="C22" s="32">
        <f>IF(B22="","",(B22*A22)-$B$7)</f>
        <v>362144</v>
      </c>
      <c r="D22" s="32">
        <f>IF(B22="","",B22*A22)</f>
        <v>1362144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 Listings</vt:lpstr>
      <vt:lpstr>Brand Summary</vt:lpstr>
      <vt:lpstr>Data Dictionary</vt:lpstr>
      <vt:lpstr>EMI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 Car Marketplace AI Dataset Generator</dc:creator>
  <dc:title/>
  <dc:subject/>
  <dc:description/>
  <cp:keywords/>
  <cp:category/>
  <cp:lastModifiedBy>Unknown</cp:lastModifiedBy>
  <dcterms:created xsi:type="dcterms:W3CDTF">2026-10-22T18:30:00Z</dcterms:created>
  <dcterms:modified xsi:type="dcterms:W3CDTF">2026-10-23T16:14:31Z</dcterms:modified>
</cp:coreProperties>
</file>